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DR04 transport cost" sheetId="24" state="visible" r:id="rId24"/>
    <sheet xmlns:r="http://schemas.openxmlformats.org/officeDocument/2006/relationships" name="Power fleet" sheetId="25" state="visible" r:id="rId25"/>
    <sheet xmlns:r="http://schemas.openxmlformats.org/officeDocument/2006/relationships" name="Vehicle history" sheetId="26" state="visible" r:id="rId26"/>
    <sheet xmlns:r="http://schemas.openxmlformats.org/officeDocument/2006/relationships" name="HML response" sheetId="27" state="visible" r:id="rId27"/>
    <sheet xmlns:r="http://schemas.openxmlformats.org/officeDocument/2006/relationships" name="Gap status" sheetId="28" state="visible" r:id="rId28"/>
    <sheet xmlns:r="http://schemas.openxmlformats.org/officeDocument/2006/relationships" name="Checks" sheetId="29" state="visible" r:id="rId29"/>
    <sheet xmlns:r="http://schemas.openxmlformats.org/officeDocument/2006/relationships" name="History sources" sheetId="30" state="visible" r:id="rId30"/>
  </sheets>
  <definedNames/>
</workbook>
</file>

<file path=xl/styles.xml><?xml version="1.0" encoding="utf-8"?>
<styleSheet xmlns="http://schemas.openxmlformats.org/spreadsheetml/2006/main">
  <numFmts count="7">
    <numFmt numFmtId="164" formatCode="#,##0.0"/>
    <numFmt numFmtId="165" formatCode="0.0%"/>
    <numFmt numFmtId="166" formatCode="0.0000"/>
    <numFmt numFmtId="167" formatCode="#,##0.0000"/>
    <numFmt numFmtId="168" formatCode="0.0"/>
    <numFmt numFmtId="169" formatCode="[&gt;=0.005]0.00;[&lt;=-0.005]-0.00;0.00"/>
    <numFmt numFmtId="170"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99">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4" fillId="19" borderId="0" pivotButton="0" quotePrefix="0" xfId="0"/>
    <xf numFmtId="2" fontId="1" fillId="18" borderId="0" applyAlignment="1" pivotButton="0" quotePrefix="0" xfId="0">
      <alignment horizontal="right" vertical="top"/>
    </xf>
    <xf numFmtId="2" fontId="7" fillId="18" borderId="0" applyAlignment="1" pivotButton="0" quotePrefix="0" xfId="0">
      <alignment horizontal="right" vertical="top"/>
    </xf>
    <xf numFmtId="2" fontId="1" fillId="15" borderId="0" applyAlignment="1" pivotButton="0" quotePrefix="0" xfId="0">
      <alignment horizontal="right" vertical="top"/>
    </xf>
    <xf numFmtId="0" fontId="5" fillId="18" borderId="0" applyAlignment="1" pivotButton="0" quotePrefix="0" xfId="0">
      <alignment horizontal="left" vertical="top"/>
    </xf>
    <xf numFmtId="0" fontId="1" fillId="18" borderId="0" applyAlignment="1" pivotButton="0" quotePrefix="0" xfId="0">
      <alignment horizontal="right" vertical="top"/>
    </xf>
    <xf numFmtId="168" fontId="1" fillId="18" borderId="0" applyAlignment="1" pivotButton="0" quotePrefix="0" xfId="0">
      <alignment horizontal="right" vertical="top"/>
    </xf>
    <xf numFmtId="168" fontId="1" fillId="1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170"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The 0.31 factor awaits review.</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5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32 facts read from original documents, 3 calculated, 6 still open (yellow). Petrol and diesel only: 26 facts that mix in crude, jet or other liquids are left out and stay in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2">
      <c r="A12" s="151" t="inlineStr">
        <is>
          <t>Pipeline cost</t>
        </is>
      </c>
      <c r="B12" s="151" t="n"/>
      <c r="C12" s="151" t="n"/>
      <c r="D12" s="151" t="n"/>
      <c r="E12" s="151" t="n"/>
      <c r="F12" s="151" t="n"/>
      <c r="G12" s="151" t="n"/>
      <c r="H12" s="151" t="n"/>
      <c r="I12" s="151" t="n"/>
    </row>
    <row r="13">
      <c r="A13" s="152" t="inlineStr">
        <is>
          <t>Effect of the tariff decision on the fuel price</t>
        </is>
      </c>
      <c r="B13" s="152" t="inlineStr">
        <is>
          <t>Durban to Johannesburg proxy</t>
        </is>
      </c>
      <c r="C13" s="152" t="inlineStr">
        <is>
          <t>+5.23; +3.80</t>
        </is>
      </c>
      <c r="D13" s="152" t="inlineStr">
        <is>
          <t>cents a litre</t>
        </is>
      </c>
      <c r="E13" s="152" t="inlineStr">
        <is>
          <t>2025/26; 2026/27</t>
        </is>
      </c>
      <c r="F13" s="152" t="inlineStr">
        <is>
          <t>observed</t>
        </is>
      </c>
      <c r="G13" s="152" t="inlineStr">
        <is>
          <t>NERSA media statement, 15 April 2025</t>
        </is>
      </c>
      <c r="H13" s="152" t="inlineStr">
        <is>
          <t>p.1</t>
        </is>
      </c>
      <c r="I13" s="152" t="inlineStr">
        <is>
          <t>This is the change, not the tariff. The tariff by route is in the reasons for decision, not yet obtained.</t>
        </is>
      </c>
    </row>
    <row r="14">
      <c r="A14" s="152" t="inlineStr">
        <is>
          <t>Pipeline tariff, Durban to Alrode</t>
        </is>
      </c>
      <c r="B14" s="152" t="inlineStr">
        <is>
          <t>Durban to Alrode (Johannesburg)</t>
        </is>
      </c>
      <c r="C14" s="152" t="inlineStr">
        <is>
          <t>61.74; 67.99</t>
        </is>
      </c>
      <c r="D14" s="152" t="inlineStr">
        <is>
          <t>cents a litre</t>
        </is>
      </c>
      <c r="E14" s="152" t="inlineStr">
        <is>
          <t>2023/24; 2024/25</t>
        </is>
      </c>
      <c r="F14" s="152" t="inlineStr">
        <is>
          <t>observed</t>
        </is>
      </c>
      <c r="G14" s="152" t="inlineStr">
        <is>
          <t>NERSA statement of 15 March 2024, as quoted by Engineering News</t>
        </is>
      </c>
      <c r="H14" s="152" t="inlineStr"/>
      <c r="I14" s="152" t="inlineStr">
        <is>
          <t>Read from a news report quoting the regulator word for word; NERSA's own statement was not located. A 10.13% increase.</t>
        </is>
      </c>
    </row>
    <row r="15">
      <c r="A15" s="156" t="inlineStr">
        <is>
          <t>Pipeline tariff, Durban to Alrode</t>
        </is>
      </c>
      <c r="B15" s="156" t="inlineStr">
        <is>
          <t>Durban to Alrode (Johannesburg)</t>
        </is>
      </c>
      <c r="C15" s="156" t="inlineStr">
        <is>
          <t>73.22; 77.02</t>
        </is>
      </c>
      <c r="D15" s="156" t="inlineStr">
        <is>
          <t>cents a litre</t>
        </is>
      </c>
      <c r="E15" s="156" t="inlineStr">
        <is>
          <t>2025/26; 2026/27</t>
        </is>
      </c>
      <c r="F15" s="156" t="inlineStr">
        <is>
          <t>inferred</t>
        </is>
      </c>
      <c r="G15" s="156" t="inlineStr">
        <is>
          <t>67.99 plus the increases of 5.23 and 3.80 in NERSA's statement of 15 April 2025</t>
        </is>
      </c>
      <c r="H15" s="156" t="inlineStr">
        <is>
          <t>p.1</t>
        </is>
      </c>
      <c r="I15" s="156" t="inlineStr">
        <is>
          <t>Assumes the stated effect on the fuel price is the change in this tariff, as it was in 2024/25. To confirm in the reasons for decision.</t>
        </is>
      </c>
    </row>
    <row r="16">
      <c r="A16" s="162" t="inlineStr">
        <is>
          <t>Tariff on routes other than Durban to Alrode</t>
        </is>
      </c>
      <c r="B16" s="162" t="inlineStr">
        <is>
          <t>Other inland routes</t>
        </is>
      </c>
      <c r="C16" s="162" t="inlineStr">
        <is>
          <t>Not available</t>
        </is>
      </c>
      <c r="D16" s="162" t="inlineStr">
        <is>
          <t>cents a litre</t>
        </is>
      </c>
      <c r="E16" s="162" t="inlineStr">
        <is>
          <t>2026/27</t>
        </is>
      </c>
      <c r="F16" s="162" t="inlineStr">
        <is>
          <t>not available</t>
        </is>
      </c>
      <c r="G16" s="162" t="inlineStr">
        <is>
          <t>NERSA reasons for decision (not obtained)</t>
        </is>
      </c>
      <c r="H16" s="162" t="inlineStr"/>
      <c r="I16" s="162" t="inlineStr">
        <is>
          <t>Needed to compare destinations other than Gauteng. In NERSA's reasons for decision, not located. Owner: Manish.</t>
        </is>
      </c>
    </row>
    <row r="18">
      <c r="A18" s="151" t="inlineStr">
        <is>
          <t>Delivered cost</t>
        </is>
      </c>
      <c r="B18" s="151" t="n"/>
      <c r="C18" s="151" t="n"/>
      <c r="D18" s="151" t="n"/>
      <c r="E18" s="151" t="n"/>
      <c r="F18" s="151" t="n"/>
      <c r="G18" s="151" t="n"/>
      <c r="H18" s="151" t="n"/>
      <c r="I18" s="151" t="n"/>
    </row>
    <row r="19">
      <c r="A19" s="152" t="inlineStr">
        <is>
          <t>Regulated price difference, inland less coast, diesel wholesale</t>
        </is>
      </c>
      <c r="B19" s="152" t="inlineStr">
        <is>
          <t>Gauteng less coast</t>
        </is>
      </c>
      <c r="C19" s="152" t="inlineStr">
        <is>
          <t>79.0; 83.3; 83.3</t>
        </is>
      </c>
      <c r="D19" s="152" t="inlineStr">
        <is>
          <t>cents a litre</t>
        </is>
      </c>
      <c r="E19" s="152" t="inlineStr">
        <is>
          <t>July 2024; July 2025; November 2025</t>
        </is>
      </c>
      <c r="F19" s="152" t="inlineStr">
        <is>
          <t>observed</t>
        </is>
      </c>
      <c r="G19" s="152" t="inlineStr">
        <is>
          <t>Department of Mineral and Petroleum Resources, regulated fuel prices</t>
        </is>
      </c>
      <c r="H19" s="152" t="inlineStr"/>
      <c r="I19" s="152" t="inlineStr">
        <is>
          <t>The regulated allowance for moving fuel inland, not an operator's actual cost. Coast series held ends November 2025.</t>
        </is>
      </c>
    </row>
    <row r="20">
      <c r="A20" s="152" t="inlineStr">
        <is>
          <t>Regulated transport differential, Gauteng (zone 9C)</t>
        </is>
      </c>
      <c r="B20" s="152" t="inlineStr">
        <is>
          <t>Coast to Gauteng</t>
        </is>
      </c>
      <c r="C20" s="152" t="inlineStr">
        <is>
          <t>33.1; 82.8; 91.1</t>
        </is>
      </c>
      <c r="D20" s="152" t="inlineStr">
        <is>
          <t>cents a litre</t>
        </is>
      </c>
      <c r="E20" s="152" t="inlineStr">
        <is>
          <t>April 2014; April 2024; April 2026</t>
        </is>
      </c>
      <c r="F20" s="152" t="inlineStr">
        <is>
          <t>observed</t>
        </is>
      </c>
      <c r="G20" s="152" t="inlineStr">
        <is>
          <t>Department zone lists (2014, 2024); Central Energy Fund price composition (2026)</t>
        </is>
      </c>
      <c r="H20" s="152" t="inlineStr">
        <is>
          <t>CEF p.3</t>
        </is>
      </c>
      <c r="I20" s="152" t="inlineStr">
        <is>
          <t>The regulated allowance for getting petrol and diesel to Gauteng, which the regulator ties to the pipeline tariff. Not a commercial rate.</t>
        </is>
      </c>
    </row>
    <row r="21">
      <c r="A21" s="152" t="inlineStr">
        <is>
          <t>Regulated transport differential, all zones</t>
        </is>
      </c>
      <c r="B21" s="152" t="inlineStr">
        <is>
          <t>Coast to each of 54 pricing zones</t>
        </is>
      </c>
      <c r="C21" s="152" t="inlineStr">
        <is>
          <t>3.8 to 179.6</t>
        </is>
      </c>
      <c r="D21" s="152" t="inlineStr">
        <is>
          <t>cents a litre</t>
        </is>
      </c>
      <c r="E21" s="152" t="inlineStr">
        <is>
          <t>April 2024</t>
        </is>
      </c>
      <c r="F21" s="152" t="inlineStr">
        <is>
          <t>observed</t>
        </is>
      </c>
      <c r="G21" s="152" t="inlineStr">
        <is>
          <t>Department diesel wholesale price list, effective 3 April 2024</t>
        </is>
      </c>
      <c r="H21" s="152" t="inlineStr">
        <is>
          <t>pp.1-2</t>
        </is>
      </c>
      <c r="I21" s="152" t="inlineStr">
        <is>
          <t>Lowest at the coast (zone 1A), highest in zone 17A. By zone on the DR04 transport cost sheet. The files do not say which mode serves each zone.</t>
        </is>
      </c>
    </row>
    <row r="22">
      <c r="A22" s="156" t="inlineStr">
        <is>
          <t>Regulated transport differential less the pipeline tariff, Gauteng</t>
        </is>
      </c>
      <c r="B22" s="156" t="inlineStr">
        <is>
          <t>Coast to Gauteng</t>
        </is>
      </c>
      <c r="C22" s="156" t="inlineStr">
        <is>
          <t>14.8</t>
        </is>
      </c>
      <c r="D22" s="156" t="inlineStr">
        <is>
          <t>cents a litre</t>
        </is>
      </c>
      <c r="E22" s="156" t="inlineStr">
        <is>
          <t>2024/25</t>
        </is>
      </c>
      <c r="F22" s="156" t="inlineStr">
        <is>
          <t>inferred</t>
        </is>
      </c>
      <c r="G22" s="156" t="inlineStr">
        <is>
          <t>82.8 (zone 9C, April 2024) less 67.99 (Durban to Alrode, 2024/25)</t>
        </is>
      </c>
      <c r="H22" s="156" t="inlineStr"/>
      <c r="I22" s="156" t="inlineStr">
        <is>
          <t>What the rest of the Gauteng differential covers is not established.</t>
        </is>
      </c>
    </row>
    <row r="23">
      <c r="A23" s="152" t="inlineStr">
        <is>
          <t>Regulated secondary distribution (depot to service station by road)</t>
        </is>
      </c>
      <c r="B23" s="152" t="inlineStr">
        <is>
          <t>All zones</t>
        </is>
      </c>
      <c r="C23" s="152" t="inlineStr">
        <is>
          <t>17.2; 19.1</t>
        </is>
      </c>
      <c r="D23" s="152" t="inlineStr">
        <is>
          <t>cents a litre</t>
        </is>
      </c>
      <c r="E23" s="152" t="inlineStr">
        <is>
          <t>April 2024; April 2026</t>
        </is>
      </c>
      <c r="F23" s="152" t="inlineStr">
        <is>
          <t>observed</t>
        </is>
      </c>
      <c r="G23" s="152" t="inlineStr">
        <is>
          <t>Department diesel margins (2024); Central Energy Fund price composition (2026)</t>
        </is>
      </c>
      <c r="H23" s="152" t="inlineStr">
        <is>
          <t>CEF p.3</t>
        </is>
      </c>
      <c r="I23" s="152" t="inlineStr">
        <is>
          <t>The only regulated road delivery element. One national figure; it does not vary by distance.</t>
        </is>
      </c>
    </row>
    <row r="24">
      <c r="A24" s="152" t="inlineStr">
        <is>
          <t>Regulated secondary storage</t>
        </is>
      </c>
      <c r="B24" s="152" t="inlineStr">
        <is>
          <t>All zones</t>
        </is>
      </c>
      <c r="C24" s="152" t="inlineStr">
        <is>
          <t>36.6; 39.0</t>
        </is>
      </c>
      <c r="D24" s="152" t="inlineStr">
        <is>
          <t>cents a litre</t>
        </is>
      </c>
      <c r="E24" s="152" t="inlineStr">
        <is>
          <t>April 2024; April 2026</t>
        </is>
      </c>
      <c r="F24" s="152" t="inlineStr">
        <is>
          <t>observed</t>
        </is>
      </c>
      <c r="G24" s="152" t="inlineStr">
        <is>
          <t>Department diesel margins (2024); Central Energy Fund price composition (2026)</t>
        </is>
      </c>
      <c r="H24" s="152" t="inlineStr">
        <is>
          <t>CEF p.3</t>
        </is>
      </c>
      <c r="I24" s="152" t="inlineStr">
        <is>
          <t>The regulated allowance for depot storage, which is the service a terminal such as Lesedi sells. One national figure.</t>
        </is>
      </c>
    </row>
    <row r="25">
      <c r="A25" s="152" t="inlineStr">
        <is>
          <t>Road against pipeline, as stated by a haulier</t>
        </is>
      </c>
      <c r="B25" s="152" t="inlineStr">
        <is>
          <t>Durban to Gauteng</t>
        </is>
      </c>
      <c r="C25" s="152" t="inlineStr">
        <is>
          <t>Pipeline plus the last stretch by truck costs about a third more than trucking all the way</t>
        </is>
      </c>
      <c r="D25" s="152" t="inlineStr"/>
      <c r="E25" s="152" t="inlineStr">
        <is>
          <t>May 2025</t>
        </is>
      </c>
      <c r="F25" s="152" t="inlineStr">
        <is>
          <t>observed</t>
        </is>
      </c>
      <c r="G25" s="152" t="inlineStr">
        <is>
          <t>Bloomberg, 12 May 2025, quoting the managing director of a fuel haulier</t>
        </is>
      </c>
      <c r="H25" s="152" t="inlineStr"/>
      <c r="I25" s="152" t="inlineStr">
        <is>
          <t>One operator's statement, with no rate given. It implies road is competitive with the pipeline; it is not a measured cost.</t>
        </is>
      </c>
    </row>
    <row r="26">
      <c r="A26" s="162" t="inlineStr">
        <is>
          <t>Commercial road tanker rate, Durban to Gauteng</t>
        </is>
      </c>
      <c r="B26" s="162" t="inlineStr">
        <is>
          <t>Road</t>
        </is>
      </c>
      <c r="C26" s="162" t="inlineStr">
        <is>
          <t>Not available</t>
        </is>
      </c>
      <c r="D26" s="162" t="inlineStr">
        <is>
          <t>cents a litre</t>
        </is>
      </c>
      <c r="E26" s="162" t="inlineStr"/>
      <c r="F26" s="162" t="inlineStr">
        <is>
          <t>not available</t>
        </is>
      </c>
      <c r="G26" s="162" t="inlineStr">
        <is>
          <t>None public</t>
        </is>
      </c>
      <c r="H26" s="162" t="inlineStr"/>
      <c r="I26" s="162" t="inlineStr">
        <is>
          <t>Hauliers' rates are not published. The regulated differentials above are the nearest public figure. Needs Vopak or a haulier quote.</t>
        </is>
      </c>
    </row>
    <row r="27">
      <c r="A27" s="162" t="inlineStr">
        <is>
          <t>Rail rate, Durban to Gauteng</t>
        </is>
      </c>
      <c r="B27" s="162" t="inlineStr">
        <is>
          <t>Rail</t>
        </is>
      </c>
      <c r="C27" s="162" t="inlineStr">
        <is>
          <t>Not available</t>
        </is>
      </c>
      <c r="D27" s="162" t="inlineStr">
        <is>
          <t>cents a litre</t>
        </is>
      </c>
      <c r="E27" s="162" t="inlineStr"/>
      <c r="F27" s="162" t="inlineStr">
        <is>
          <t>not available</t>
        </is>
      </c>
      <c r="G27" s="162" t="inlineStr">
        <is>
          <t>None public</t>
        </is>
      </c>
      <c r="H27" s="162" t="inlineStr"/>
      <c r="I27" s="162" t="inlineStr">
        <is>
          <t>Transnet Freight Rail does not publish rates by commodity, and none was found for fuel. Needs Transnet or Vopak.</t>
        </is>
      </c>
    </row>
    <row r="29">
      <c r="A29" s="151" t="inlineStr">
        <is>
          <t>Port use</t>
        </is>
      </c>
      <c r="B29" s="151" t="n"/>
      <c r="C29" s="151" t="n"/>
      <c r="D29" s="151" t="n"/>
      <c r="E29" s="151" t="n"/>
      <c r="F29" s="151" t="n"/>
      <c r="G29" s="151" t="n"/>
      <c r="H29" s="151" t="n"/>
      <c r="I29" s="151" t="n"/>
    </row>
    <row r="30">
      <c r="A30" s="152" t="inlineStr">
        <is>
          <t>Petrol and diesel imports cleared</t>
        </is>
      </c>
      <c r="B30" s="152" t="inlineStr">
        <is>
          <t>Durban customs office</t>
        </is>
      </c>
      <c r="C30" s="152" t="inlineStr">
        <is>
          <t>11.84; 13.16</t>
        </is>
      </c>
      <c r="D30" s="152" t="inlineStr">
        <is>
          <t>billion litres</t>
        </is>
      </c>
      <c r="E30" s="152" t="inlineStr">
        <is>
          <t>2024; 2025</t>
        </is>
      </c>
      <c r="F30" s="152" t="inlineStr">
        <is>
          <t>observed</t>
        </is>
      </c>
      <c r="G30" s="152" t="inlineStr">
        <is>
          <t>SARS customs, by office</t>
        </is>
      </c>
      <c r="H30" s="152" t="inlineStr"/>
      <c r="I30" s="152" t="inlineStr">
        <is>
          <t>Customs office of clearance: the nearest public record of entry port, not a berth or terminal record.</t>
        </is>
      </c>
    </row>
    <row r="31">
      <c r="A31" s="152" t="inlineStr">
        <is>
          <t>Durban share of petrol and diesel imports</t>
        </is>
      </c>
      <c r="B31" s="152" t="inlineStr">
        <is>
          <t>Durban customs office</t>
        </is>
      </c>
      <c r="C31" s="152" t="inlineStr">
        <is>
          <t>80.0; 78.8</t>
        </is>
      </c>
      <c r="D31" s="152" t="inlineStr">
        <is>
          <t>%</t>
        </is>
      </c>
      <c r="E31" s="152" t="inlineStr">
        <is>
          <t>2024; 2025</t>
        </is>
      </c>
      <c r="F31" s="152" t="inlineStr">
        <is>
          <t>observed</t>
        </is>
      </c>
      <c r="G31" s="152" t="inlineStr">
        <is>
          <t>SARS customs, by office</t>
        </is>
      </c>
      <c r="H31" s="152" t="inlineStr"/>
      <c r="I31" s="152" t="inlineStr"/>
    </row>
    <row r="32">
      <c r="A32" s="152" t="inlineStr">
        <is>
          <t>Petrol and diesel imports cleared</t>
        </is>
      </c>
      <c r="B32" s="152" t="inlineStr">
        <is>
          <t>Richards Bay customs office</t>
        </is>
      </c>
      <c r="C32" s="152" t="inlineStr">
        <is>
          <t>0.39; 0.66</t>
        </is>
      </c>
      <c r="D32" s="152" t="inlineStr">
        <is>
          <t>billion litres</t>
        </is>
      </c>
      <c r="E32" s="152" t="inlineStr">
        <is>
          <t>2024; 2025</t>
        </is>
      </c>
      <c r="F32" s="152" t="inlineStr">
        <is>
          <t>observed</t>
        </is>
      </c>
      <c r="G32" s="152" t="inlineStr">
        <is>
          <t>SARS customs, by office</t>
        </is>
      </c>
      <c r="H32" s="152" t="inlineStr"/>
      <c r="I32" s="152" t="inlineStr"/>
    </row>
    <row r="33">
      <c r="A33" s="152" t="inlineStr">
        <is>
          <t>Petrol and diesel imports cleared</t>
        </is>
      </c>
      <c r="B33" s="152" t="inlineStr">
        <is>
          <t>Cape Town customs office</t>
        </is>
      </c>
      <c r="C33" s="152" t="inlineStr">
        <is>
          <t>1.09; 1.52</t>
        </is>
      </c>
      <c r="D33" s="152" t="inlineStr">
        <is>
          <t>billion litres</t>
        </is>
      </c>
      <c r="E33" s="152" t="inlineStr">
        <is>
          <t>2024; 2025</t>
        </is>
      </c>
      <c r="F33" s="152" t="inlineStr">
        <is>
          <t>observed</t>
        </is>
      </c>
      <c r="G33" s="152" t="inlineStr">
        <is>
          <t>SARS customs, by office</t>
        </is>
      </c>
      <c r="H33" s="152" t="inlineStr"/>
      <c r="I33" s="152" t="inlineStr"/>
    </row>
    <row r="34">
      <c r="A34" s="152" t="inlineStr">
        <is>
          <t>Petrol and diesel imports by road from Mozambique</t>
        </is>
      </c>
      <c r="B34" s="152" t="inlineStr">
        <is>
          <t>Komatipoort customs office</t>
        </is>
      </c>
      <c r="C34" s="152" t="inlineStr">
        <is>
          <t>0.19; 0.09</t>
        </is>
      </c>
      <c r="D34" s="152" t="inlineStr">
        <is>
          <t>billion litres</t>
        </is>
      </c>
      <c r="E34" s="152" t="inlineStr">
        <is>
          <t>2024; 2025</t>
        </is>
      </c>
      <c r="F34" s="152" t="inlineStr">
        <is>
          <t>observed</t>
        </is>
      </c>
      <c r="G34" s="152" t="inlineStr">
        <is>
          <t>SARS customs, by office</t>
        </is>
      </c>
      <c r="H34" s="152" t="inlineStr"/>
      <c r="I34" s="152" t="inlineStr">
        <is>
          <t>The only recorded entry from the Maputo and Matola side.</t>
        </is>
      </c>
    </row>
    <row r="36">
      <c r="A36" s="151" t="inlineStr">
        <is>
          <t>Port limit</t>
        </is>
      </c>
      <c r="B36" s="151" t="n"/>
      <c r="C36" s="151" t="n"/>
      <c r="D36" s="151" t="n"/>
      <c r="E36" s="151" t="n"/>
      <c r="F36" s="151" t="n"/>
      <c r="G36" s="151" t="n"/>
      <c r="H36" s="151" t="n"/>
      <c r="I36" s="151" t="n"/>
    </row>
    <row r="37">
      <c r="A37" s="152" t="inlineStr">
        <is>
          <t>Berths</t>
        </is>
      </c>
      <c r="B37" s="152" t="inlineStr">
        <is>
          <t>Durban</t>
        </is>
      </c>
      <c r="C37" s="152" t="inlineStr">
        <is>
          <t>58 berths, 41 in operation, of which 8 liquid bulk</t>
        </is>
      </c>
      <c r="D37" s="152" t="inlineStr"/>
      <c r="E37" s="152" t="inlineStr">
        <is>
          <t>as on the page, read 8 October 2026</t>
        </is>
      </c>
      <c r="F37" s="152" t="inlineStr">
        <is>
          <t>observed</t>
        </is>
      </c>
      <c r="G37" s="152" t="inlineStr">
        <is>
          <t>Transnet National Ports Authority, Our Ports page</t>
        </is>
      </c>
      <c r="H37" s="152" t="inlineStr">
        <is>
          <t>Port of Durban, Fast Fact</t>
        </is>
      </c>
      <c r="I37" s="152" t="inlineStr">
        <is>
          <t>No capacity in kilolitres is given on the page.</t>
        </is>
      </c>
    </row>
    <row r="38">
      <c r="A38" s="152" t="inlineStr">
        <is>
          <t>Berths</t>
        </is>
      </c>
      <c r="B38" s="152" t="inlineStr">
        <is>
          <t>Richards Bay</t>
        </is>
      </c>
      <c r="C38" s="152" t="inlineStr">
        <is>
          <t>22 berths, of which 2 liquid bulk</t>
        </is>
      </c>
      <c r="D38" s="152" t="inlineStr"/>
      <c r="E38" s="152" t="inlineStr">
        <is>
          <t>as on the page, read 8 October 2026</t>
        </is>
      </c>
      <c r="F38" s="152" t="inlineStr">
        <is>
          <t>observed</t>
        </is>
      </c>
      <c r="G38" s="152" t="inlineStr">
        <is>
          <t>Transnet National Ports Authority, Our Ports page</t>
        </is>
      </c>
      <c r="H38" s="152" t="inlineStr">
        <is>
          <t>Port of Richards Bay, Fast Fact</t>
        </is>
      </c>
      <c r="I38" s="152" t="inlineStr">
        <is>
          <t>No capacity in kilolitres is given on the page.</t>
        </is>
      </c>
    </row>
    <row r="39">
      <c r="A39" s="152" t="inlineStr">
        <is>
          <t>Planned berth changes at Island View</t>
        </is>
      </c>
      <c r="B39" s="152" t="inlineStr">
        <is>
          <t>Durban, Island View</t>
        </is>
      </c>
      <c r="C39" s="152" t="inlineStr">
        <is>
          <t>Berth 1 to be rebuilt (2026); Berth 3 to convert from dry bulk to liquid bulk (2026)</t>
        </is>
      </c>
      <c r="D39" s="152" t="inlineStr"/>
      <c r="E39" s="152" t="inlineStr">
        <is>
          <t>port framework plan 2022-2032</t>
        </is>
      </c>
      <c r="F39" s="152" t="inlineStr">
        <is>
          <t>observed</t>
        </is>
      </c>
      <c r="G39" s="152" t="inlineStr">
        <is>
          <t>Port authority tariff application slides, 2 September 2025</t>
        </is>
      </c>
      <c r="H39" s="152" t="inlineStr">
        <is>
          <t>PDF p.14</t>
        </is>
      </c>
      <c r="I39" s="152" t="inlineStr">
        <is>
          <t>Whether either is delivered is shown only by colour on the slide, which the text does not carry.</t>
        </is>
      </c>
    </row>
    <row r="40">
      <c r="A40" s="152" t="inlineStr">
        <is>
          <t>Planned liquid bulk berth at Richards Bay</t>
        </is>
      </c>
      <c r="B40" s="152" t="inlineStr">
        <is>
          <t>Richards Bay</t>
        </is>
      </c>
      <c r="C40" s="152" t="inlineStr">
        <is>
          <t>New liquid bulk berth 210 (2025); South Dunes liquid bulk development (2024)</t>
        </is>
      </c>
      <c r="D40" s="152" t="inlineStr"/>
      <c r="E40" s="152" t="inlineStr">
        <is>
          <t>port framework plan 2022-2032</t>
        </is>
      </c>
      <c r="F40" s="152" t="inlineStr">
        <is>
          <t>observed</t>
        </is>
      </c>
      <c r="G40" s="152" t="inlineStr">
        <is>
          <t>Port authority tariff application slides, 2 September 2025</t>
        </is>
      </c>
      <c r="H40" s="152" t="inlineStr">
        <is>
          <t>PDF pp.11-12</t>
        </is>
      </c>
      <c r="I40" s="152" t="inlineStr">
        <is>
          <t>Delivery status not readable from the text.</t>
        </is>
      </c>
    </row>
    <row r="42">
      <c r="A42" s="151" t="inlineStr">
        <is>
          <t>Access</t>
        </is>
      </c>
      <c r="B42" s="151" t="n"/>
      <c r="C42" s="151" t="n"/>
      <c r="D42" s="151" t="n"/>
      <c r="E42" s="151" t="n"/>
      <c r="F42" s="151" t="n"/>
      <c r="G42" s="151" t="n"/>
      <c r="H42" s="151" t="n"/>
      <c r="I42" s="151" t="n"/>
    </row>
    <row r="43">
      <c r="A43" s="152" t="inlineStr">
        <is>
          <t>Lesedi connection to the pipeline</t>
        </is>
      </c>
      <c r="B43" s="152" t="inlineStr">
        <is>
          <t>Vopak Lesedi, Jameson Park</t>
        </is>
      </c>
      <c r="C43" s="152" t="inlineStr">
        <is>
          <t>Four pipelines to the Transnet system at Jameson Park; intake from the Transnet pipeline</t>
        </is>
      </c>
      <c r="D43" s="152" t="inlineStr"/>
      <c r="E43" s="152" t="inlineStr">
        <is>
          <t>licence of 26 August 2020</t>
        </is>
      </c>
      <c r="F43" s="152" t="inlineStr">
        <is>
          <t>observed</t>
        </is>
      </c>
      <c r="G43" s="152" t="inlineStr">
        <is>
          <t>NERSA reasons for decision, Vopak licence amendment</t>
        </is>
      </c>
      <c r="H43" s="152" t="inlineStr">
        <is>
          <t>PDF p.6</t>
        </is>
      </c>
      <c r="I43" s="152" t="inlineStr"/>
    </row>
    <row r="44">
      <c r="A44" s="152" t="inlineStr">
        <is>
          <t>Lesedi dispatch</t>
        </is>
      </c>
      <c r="B44" s="152" t="inlineStr">
        <is>
          <t>Vopak Lesedi, Jameson Park</t>
        </is>
      </c>
      <c r="C44" s="152" t="inlineStr">
        <is>
          <t>8</t>
        </is>
      </c>
      <c r="D44" s="152" t="inlineStr">
        <is>
          <t>road loading bays</t>
        </is>
      </c>
      <c r="E44" s="152" t="inlineStr">
        <is>
          <t>2025</t>
        </is>
      </c>
      <c r="F44" s="152" t="inlineStr">
        <is>
          <t>observed</t>
        </is>
      </c>
      <c r="G44" s="152" t="inlineStr">
        <is>
          <t>NERSA reasons for decision, Vopak licence amendment</t>
        </is>
      </c>
      <c r="H44" s="152" t="inlineStr">
        <is>
          <t>PDF p.7</t>
        </is>
      </c>
      <c r="I44" s="152" t="inlineStr">
        <is>
          <t>Dispatch is by road only; no rail or outbound pipeline is mentioned.</t>
        </is>
      </c>
    </row>
    <row r="45">
      <c r="A45" s="152" t="inlineStr">
        <is>
          <t>Lesedi licensed capacity</t>
        </is>
      </c>
      <c r="B45" s="152" t="inlineStr">
        <is>
          <t>Vopak Lesedi, Jameson Park</t>
        </is>
      </c>
      <c r="C45" s="152" t="inlineStr">
        <is>
          <t>100000 rising to 140000</t>
        </is>
      </c>
      <c r="D45" s="152" t="inlineStr">
        <is>
          <t>m3</t>
        </is>
      </c>
      <c r="E45" s="152" t="inlineStr">
        <is>
          <t>2020; after the 2025 expansion</t>
        </is>
      </c>
      <c r="F45" s="152" t="inlineStr">
        <is>
          <t>observed</t>
        </is>
      </c>
      <c r="G45" s="152" t="inlineStr">
        <is>
          <t>NERSA reasons for decision, Vopak licence amendment</t>
        </is>
      </c>
      <c r="H45" s="152" t="inlineStr">
        <is>
          <t>PDF p.6</t>
        </is>
      </c>
      <c r="I45" s="152" t="inlineStr">
        <is>
          <t>Design capacity. Six tanks (three diesel, three petrol) plus two diesel tanks.</t>
        </is>
      </c>
    </row>
    <row r="46">
      <c r="A46" s="152" t="inlineStr">
        <is>
          <t>Who ships to Lesedi</t>
        </is>
      </c>
      <c r="B46" s="152" t="inlineStr">
        <is>
          <t>Durban to Jameson Park</t>
        </is>
      </c>
      <c r="C46" s="152" t="inlineStr">
        <is>
          <t>Lesedi's contracted customers are shippers on the Transnet pipeline from Durban, with one exception</t>
        </is>
      </c>
      <c r="D46" s="152" t="inlineStr"/>
      <c r="E46" s="152" t="inlineStr">
        <is>
          <t>2024/25</t>
        </is>
      </c>
      <c r="F46" s="152" t="inlineStr">
        <is>
          <t>observed</t>
        </is>
      </c>
      <c r="G46" s="152" t="inlineStr">
        <is>
          <t>NERSA reasons for decision, Vopak licence amendment</t>
        </is>
      </c>
      <c r="H46" s="152" t="inlineStr">
        <is>
          <t>PDF p.9</t>
        </is>
      </c>
      <c r="I46" s="152" t="inlineStr">
        <is>
          <t>Customer names are redacted.</t>
        </is>
      </c>
    </row>
    <row r="47">
      <c r="A47" s="152" t="inlineStr">
        <is>
          <t>Durban terminal receipt</t>
        </is>
      </c>
      <c r="B47" s="152" t="inlineStr">
        <is>
          <t>Vopak Terminal Durban, Island View</t>
        </is>
      </c>
      <c r="C47" s="152" t="inlineStr">
        <is>
          <t>By ship (own lines at jetties 1, 2 and 4; industry lines at berths 6, 7 and 8) and by pipeline transfer from neighbouring companies</t>
        </is>
      </c>
      <c r="D47" s="152" t="inlineStr"/>
      <c r="E47" s="152" t="inlineStr">
        <is>
          <t>undated allocation mechanism</t>
        </is>
      </c>
      <c r="F47" s="152" t="inlineStr">
        <is>
          <t>observed</t>
        </is>
      </c>
      <c r="G47" s="152" t="inlineStr">
        <is>
          <t>Vopak Terminal Durban allocation mechanism filed with NERSA</t>
        </is>
      </c>
      <c r="H47" s="152" t="inlineStr">
        <is>
          <t>p.5</t>
        </is>
      </c>
      <c r="I47" s="152" t="inlineStr">
        <is>
          <t>The document is old: it gives 18,091 m3 of petroleum storage, far below today's. Berth access needs confirming with Vopak.</t>
        </is>
      </c>
    </row>
    <row r="48">
      <c r="A48" s="152" t="inlineStr">
        <is>
          <t>Durban terminal dispatch</t>
        </is>
      </c>
      <c r="B48" s="152" t="inlineStr">
        <is>
          <t>Vopak Terminal Durban, Island View</t>
        </is>
      </c>
      <c r="C48" s="152" t="inlineStr">
        <is>
          <t>Mainly road; also ship or barge loading and pipeline transfer</t>
        </is>
      </c>
      <c r="D48" s="152" t="inlineStr"/>
      <c r="E48" s="152" t="inlineStr">
        <is>
          <t>undated allocation mechanism</t>
        </is>
      </c>
      <c r="F48" s="152" t="inlineStr">
        <is>
          <t>observed</t>
        </is>
      </c>
      <c r="G48" s="152" t="inlineStr">
        <is>
          <t>Vopak Terminal Durban allocation mechanism filed with NERSA</t>
        </is>
      </c>
      <c r="H48" s="152" t="inlineStr">
        <is>
          <t>pp.4, 6</t>
        </is>
      </c>
      <c r="I48" s="152" t="inlineStr">
        <is>
          <t>Whether Vopak Durban injects directly into the Transnet trunk line is not stated in this document.</t>
        </is>
      </c>
    </row>
    <row r="49">
      <c r="A49" s="152" t="inlineStr">
        <is>
          <t>Notice periods at Durban</t>
        </is>
      </c>
      <c r="B49" s="152" t="inlineStr">
        <is>
          <t>Vopak Terminal Durban</t>
        </is>
      </c>
      <c r="C49" s="152" t="inlineStr">
        <is>
          <t>Two weeks for a vessel; one week for a pipeline transfer; two days for road loading</t>
        </is>
      </c>
      <c r="D49" s="152" t="inlineStr"/>
      <c r="E49" s="152" t="inlineStr">
        <is>
          <t>undated allocation mechanism</t>
        </is>
      </c>
      <c r="F49" s="152" t="inlineStr">
        <is>
          <t>observed</t>
        </is>
      </c>
      <c r="G49" s="152" t="inlineStr">
        <is>
          <t>Vopak Terminal Durban allocation mechanism filed with NERSA</t>
        </is>
      </c>
      <c r="H49" s="152" t="inlineStr">
        <is>
          <t>p.3</t>
        </is>
      </c>
      <c r="I49" s="152" t="inlineStr">
        <is>
          <t>Old document; confirm with Vopak.</t>
        </is>
      </c>
    </row>
    <row r="51">
      <c r="A51" s="151" t="inlineStr">
        <is>
          <t>Competing routes</t>
        </is>
      </c>
      <c r="B51" s="151" t="n"/>
      <c r="C51" s="151" t="n"/>
      <c r="D51" s="151" t="n"/>
      <c r="E51" s="151" t="n"/>
      <c r="F51" s="151" t="n"/>
      <c r="G51" s="151" t="n"/>
      <c r="H51" s="151" t="n"/>
      <c r="I51" s="151" t="n"/>
    </row>
    <row r="52">
      <c r="A52" s="152" t="inlineStr">
        <is>
          <t>Diesel imported by road from Mozambique</t>
        </is>
      </c>
      <c r="B52" s="152" t="inlineStr">
        <is>
          <t>Maputo and Matola, through Komatipoort</t>
        </is>
      </c>
      <c r="C52" s="152" t="inlineStr">
        <is>
          <t>0.21; 0.21; 0.20; 0.27; 0.25; 0.19; 0.08</t>
        </is>
      </c>
      <c r="D52" s="152" t="inlineStr">
        <is>
          <t>billion litres</t>
        </is>
      </c>
      <c r="E52" s="152" t="inlineStr">
        <is>
          <t>2019; 2020; 2021; 2022; 2023; 2024; 2025</t>
        </is>
      </c>
      <c r="F52" s="152" t="inlineStr">
        <is>
          <t>observed</t>
        </is>
      </c>
      <c r="G52" s="152" t="inlineStr">
        <is>
          <t>SARS customs, by office</t>
        </is>
      </c>
      <c r="H52" s="152" t="inlineStr"/>
      <c r="I52" s="152" t="inlineStr">
        <is>
          <t>Falling since 2022. Diesel and petrol together were 0.5% of petrol and diesel imports in 2025.</t>
        </is>
      </c>
    </row>
    <row r="53">
      <c r="A53" s="152" t="inlineStr">
        <is>
          <t>Petrol imported by road from Mozambique</t>
        </is>
      </c>
      <c r="B53" s="152" t="inlineStr">
        <is>
          <t>Maputo and Matola, through Komatipoort</t>
        </is>
      </c>
      <c r="C53" s="152" t="inlineStr">
        <is>
          <t>0.039; 0.031; 0.039; 0.029; 0.000; 0.001; 0.004</t>
        </is>
      </c>
      <c r="D53" s="152" t="inlineStr">
        <is>
          <t>billion litres</t>
        </is>
      </c>
      <c r="E53" s="152" t="inlineStr">
        <is>
          <t>2019; 2020; 2021; 2022; 2023; 2024; 2025</t>
        </is>
      </c>
      <c r="F53" s="152" t="inlineStr">
        <is>
          <t>observed</t>
        </is>
      </c>
      <c r="G53" s="152" t="inlineStr">
        <is>
          <t>SARS customs, by office</t>
        </is>
      </c>
      <c r="H53" s="152" t="inlineStr"/>
      <c r="I53" s="152" t="inlineStr">
        <is>
          <t>Small and almost nil since 2023.</t>
        </is>
      </c>
    </row>
    <row r="54">
      <c r="A54" s="152" t="inlineStr">
        <is>
          <t>Petrol and diesel imported through Namibian and Botswanan border posts</t>
        </is>
      </c>
      <c r="B54" s="152" t="inlineStr">
        <is>
          <t>Walvis Bay and the Trans-Kalahari road</t>
        </is>
      </c>
      <c r="C54" s="152" t="inlineStr">
        <is>
          <t>0.00 in every year</t>
        </is>
      </c>
      <c r="D54" s="152" t="inlineStr">
        <is>
          <t>billion litres</t>
        </is>
      </c>
      <c r="E54" s="152" t="inlineStr">
        <is>
          <t>2019-2025</t>
        </is>
      </c>
      <c r="F54" s="152" t="inlineStr">
        <is>
          <t>observed</t>
        </is>
      </c>
      <c r="G54" s="152" t="inlineStr">
        <is>
          <t>SARS customs, by office</t>
        </is>
      </c>
      <c r="H54" s="152" t="inlineStr"/>
      <c r="I54" s="152" t="inlineStr">
        <is>
          <t>Nakop (Narogas), Kopfontein, Skilpadshek, Groblersbrug and Ramatlabama record none. The route is not used for supply into South Africa.</t>
        </is>
      </c>
    </row>
    <row r="55">
      <c r="A55" s="152" t="inlineStr">
        <is>
          <t>Diesel and petrol storage planned at Walvis Bay</t>
        </is>
      </c>
      <c r="B55" s="152" t="inlineStr">
        <is>
          <t>Walvis Bay, national fuel storage facility</t>
        </is>
      </c>
      <c r="C55" s="152" t="inlineStr">
        <is>
          <t>45 diesel; 20 petrol</t>
        </is>
      </c>
      <c r="D55" s="152" t="inlineStr">
        <is>
          <t>million litres</t>
        </is>
      </c>
      <c r="E55" s="152" t="inlineStr">
        <is>
          <t>as planned; news item undated</t>
        </is>
      </c>
      <c r="F55" s="152" t="inlineStr">
        <is>
          <t>observed</t>
        </is>
      </c>
      <c r="G55" s="152" t="inlineStr">
        <is>
          <t>Namibian Ports Authority news item</t>
        </is>
      </c>
      <c r="H55" s="152" t="inlineStr"/>
      <c r="I55" s="152" t="inlineStr">
        <is>
          <t>Of 75 million litres in all; the rest is fuel oil and aviation fuel. Built for Namibia's own supply. Current operating capacity not confirmed.</t>
        </is>
      </c>
    </row>
    <row r="56">
      <c r="A56" s="162" t="inlineStr">
        <is>
          <t>Petrol and diesel storage at Matola</t>
        </is>
      </c>
      <c r="B56" s="162" t="inlineStr">
        <is>
          <t>Maputo and Matola terminals</t>
        </is>
      </c>
      <c r="C56" s="162" t="inlineStr">
        <is>
          <t>Not available</t>
        </is>
      </c>
      <c r="D56" s="162" t="inlineStr">
        <is>
          <t>m3</t>
        </is>
      </c>
      <c r="E56" s="162" t="inlineStr"/>
      <c r="F56" s="162" t="inlineStr">
        <is>
          <t>not available</t>
        </is>
      </c>
      <c r="G56" s="162" t="inlineStr">
        <is>
          <t>None for petrol and diesel alone</t>
        </is>
      </c>
      <c r="H56" s="162" t="inlineStr"/>
      <c r="I56" s="162" t="inlineStr">
        <is>
          <t>A 2015 report gives one operator 275,500 m3 in Mozambique, but that includes bitumen, so it is not used. Capacity by product not found.</t>
        </is>
      </c>
    </row>
    <row r="57">
      <c r="A57" s="162" t="inlineStr">
        <is>
          <t>Road rate and border cost, Matola to Gauteng</t>
        </is>
      </c>
      <c r="B57" s="162" t="inlineStr">
        <is>
          <t>Maputo and Matola, through Komatipoort</t>
        </is>
      </c>
      <c r="C57" s="162" t="inlineStr">
        <is>
          <t>Not available</t>
        </is>
      </c>
      <c r="D57" s="162" t="inlineStr">
        <is>
          <t>cents a litre</t>
        </is>
      </c>
      <c r="E57" s="162" t="inlineStr"/>
      <c r="F57" s="162" t="inlineStr">
        <is>
          <t>not available</t>
        </is>
      </c>
      <c r="G57" s="162" t="inlineStr">
        <is>
          <t>None public</t>
        </is>
      </c>
      <c r="H57" s="162" t="inlineStr"/>
      <c r="I57" s="162" t="inlineStr">
        <is>
          <t>Needed for a matched delivered cost. Needs a haulier or Vopak.</t>
        </is>
      </c>
    </row>
    <row r="58">
      <c r="A58" s="162" t="inlineStr">
        <is>
          <t>Petrol and diesel supplied inland by Natref and Secunda</t>
        </is>
      </c>
      <c r="B58" s="162" t="inlineStr">
        <is>
          <t>Sasolburg and Secunda</t>
        </is>
      </c>
      <c r="C58" s="162" t="inlineStr">
        <is>
          <t>Not available</t>
        </is>
      </c>
      <c r="D58" s="162" t="inlineStr">
        <is>
          <t>billion litres</t>
        </is>
      </c>
      <c r="E58" s="162" t="inlineStr"/>
      <c r="F58" s="162" t="inlineStr">
        <is>
          <t>not started</t>
        </is>
      </c>
      <c r="G58" s="162" t="inlineStr">
        <is>
          <t>None found</t>
        </is>
      </c>
      <c r="H58" s="162" t="inlineStr"/>
      <c r="I58"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49" t="inlineStr">
        <is>
          <t>DR04 Regulated cost of moving petrol and diesel</t>
        </is>
      </c>
    </row>
    <row r="2">
      <c r="A2" s="1" t="inlineStr">
        <is>
          <t>Cents a litre. These are regulated allowances in the fuel price, set by the department and the energy regulator. They are not what a haulier or Transnet charges a shipper: commercial road and rail rates are not published.</t>
        </is>
      </c>
    </row>
    <row r="4">
      <c r="A4" s="151" t="inlineStr">
        <is>
          <t>Durban to Gauteng, by element</t>
        </is>
      </c>
      <c r="B4" s="151" t="n"/>
      <c r="C4" s="151" t="n"/>
      <c r="D4" s="151" t="n"/>
      <c r="E4" s="151" t="n"/>
      <c r="F4" s="151" t="n"/>
      <c r="G4" s="151" t="n"/>
      <c r="H4" s="151" t="n"/>
    </row>
    <row r="5">
      <c r="A5" s="185" t="inlineStr">
        <is>
          <t>Element</t>
        </is>
      </c>
      <c r="B5" s="185" t="inlineStr">
        <is>
          <t>2024/25</t>
        </is>
      </c>
      <c r="C5" s="185" t="inlineStr">
        <is>
          <t>2025/26</t>
        </is>
      </c>
      <c r="D5" s="185" t="inlineStr">
        <is>
          <t>2026/27</t>
        </is>
      </c>
      <c r="E5" s="185" t="inlineStr">
        <is>
          <t>Basis</t>
        </is>
      </c>
      <c r="H5" s="185" t="inlineStr">
        <is>
          <t>Source</t>
        </is>
      </c>
    </row>
    <row r="6">
      <c r="A6" s="170" t="inlineStr">
        <is>
          <t>Pipeline tariff, Durban to Alrode</t>
        </is>
      </c>
      <c r="B6" s="186" t="n">
        <v>67.98999999999999</v>
      </c>
      <c r="C6" s="187" t="n">
        <v>73.22</v>
      </c>
      <c r="D6" s="187" t="n">
        <v>77.02</v>
      </c>
      <c r="E6" s="172" t="inlineStr">
        <is>
          <t>2024/25 as reported; later years calculated by adding NERSA's stated increases</t>
        </is>
      </c>
      <c r="H6" s="172" t="inlineStr">
        <is>
          <t>NERSA statements of 15 March 2024 (as quoted by Engineering News) and 15 April 2025</t>
        </is>
      </c>
    </row>
    <row r="7">
      <c r="A7" s="170" t="inlineStr">
        <is>
          <t>Regulated transport differential, Gauteng (zone 9C)</t>
        </is>
      </c>
      <c r="B7" s="186" t="n">
        <v>82.8</v>
      </c>
      <c r="C7" s="186" t="n"/>
      <c r="D7" s="186" t="n">
        <v>91.09999999999999</v>
      </c>
      <c r="E7" s="172" t="inlineStr">
        <is>
          <t>Regulated allowance in the petrol and diesel price for transport from the coast</t>
        </is>
      </c>
      <c r="H7" s="172" t="inlineStr">
        <is>
          <t>Department zone list, April 2024; Central Energy Fund price composition, 1 April 2026</t>
        </is>
      </c>
    </row>
    <row r="8">
      <c r="A8" s="170" t="inlineStr">
        <is>
          <t>Regulated secondary storage</t>
        </is>
      </c>
      <c r="B8" s="186" t="n">
        <v>36.6</v>
      </c>
      <c r="C8" s="186" t="n"/>
      <c r="D8" s="186" t="n">
        <v>39</v>
      </c>
      <c r="E8" s="172" t="inlineStr">
        <is>
          <t>Regulated allowance for depot storage; one national figure</t>
        </is>
      </c>
      <c r="H8" s="172" t="inlineStr">
        <is>
          <t>Department diesel margins, 2024; Central Energy Fund price composition, 1 April 2026</t>
        </is>
      </c>
    </row>
    <row r="9">
      <c r="A9" s="170" t="inlineStr">
        <is>
          <t>Regulated secondary distribution</t>
        </is>
      </c>
      <c r="B9" s="186" t="n">
        <v>17.2</v>
      </c>
      <c r="C9" s="186" t="n"/>
      <c r="D9" s="186" t="n">
        <v>19.1</v>
      </c>
      <c r="E9" s="172" t="inlineStr">
        <is>
          <t>Regulated allowance for road delivery from depot to service station; one national figure</t>
        </is>
      </c>
      <c r="H9" s="172" t="inlineStr">
        <is>
          <t>Department diesel margins, 2024; Central Energy Fund price composition, 1 April 2026</t>
        </is>
      </c>
    </row>
    <row r="10">
      <c r="A10" s="181" t="inlineStr">
        <is>
          <t>Commercial road tanker rate, Durban to Gauteng</t>
        </is>
      </c>
      <c r="B10" s="188" t="n"/>
      <c r="C10" s="188" t="n"/>
      <c r="D10" s="188" t="n"/>
      <c r="E10" s="183" t="inlineStr">
        <is>
          <t>Not published</t>
        </is>
      </c>
      <c r="H10" s="183" t="inlineStr">
        <is>
          <t>None found; needs Vopak or a haulier</t>
        </is>
      </c>
    </row>
    <row r="11">
      <c r="A11" s="181" t="inlineStr">
        <is>
          <t>Rail rate, Durban to Gauteng</t>
        </is>
      </c>
      <c r="B11" s="188" t="n"/>
      <c r="C11" s="188" t="n"/>
      <c r="D11" s="188" t="n"/>
      <c r="E11" s="183" t="inlineStr">
        <is>
          <t>Not published</t>
        </is>
      </c>
      <c r="H11" s="183" t="inlineStr">
        <is>
          <t>None found; needs Transnet or Vopak</t>
        </is>
      </c>
    </row>
    <row r="13">
      <c r="A13" s="151" t="inlineStr">
        <is>
          <t>Regulated transport differential by pricing zone (the same for petrol and diesel in 2014; diesel list for 2024)</t>
        </is>
      </c>
      <c r="B13" s="151" t="n"/>
      <c r="C13" s="151" t="n"/>
      <c r="D13" s="151" t="n"/>
      <c r="E13" s="151" t="n"/>
      <c r="F13" s="151" t="n"/>
      <c r="G13" s="151" t="n"/>
      <c r="H13" s="151" t="n"/>
    </row>
    <row r="14">
      <c r="A14" s="150" t="inlineStr">
        <is>
          <t>Zone</t>
        </is>
      </c>
      <c r="B14" s="150" t="inlineStr">
        <is>
          <t>Provinces</t>
        </is>
      </c>
      <c r="C14" s="150" t="inlineStr">
        <is>
          <t>Districts</t>
        </is>
      </c>
      <c r="D14" s="150" t="inlineStr">
        <is>
          <t>Examples</t>
        </is>
      </c>
      <c r="E14" s="150" t="inlineStr">
        <is>
          <t>2014</t>
        </is>
      </c>
      <c r="F14" s="150" t="inlineStr">
        <is>
          <t>2024</t>
        </is>
      </c>
      <c r="G14" s="150" t="inlineStr">
        <is>
          <t>Change</t>
        </is>
      </c>
      <c r="H14" s="150" t="inlineStr">
        <is>
          <t>Source</t>
        </is>
      </c>
    </row>
    <row r="15">
      <c r="A15" s="189" t="inlineStr">
        <is>
          <t>9C (Gauteng)</t>
        </is>
      </c>
      <c r="B15" s="172" t="inlineStr">
        <is>
          <t>Gauteng, Mpumalanga, Free State, North West</t>
        </is>
      </c>
      <c r="C15" s="190" t="n">
        <v>51</v>
      </c>
      <c r="D15" s="172" t="inlineStr">
        <is>
          <t>Alberton, Bafokeng, Balfour, Benoni, Bethal, Boksburg</t>
        </is>
      </c>
      <c r="E15" s="191" t="n">
        <v>33.1</v>
      </c>
      <c r="F15" s="191" t="n">
        <v>82.8</v>
      </c>
      <c r="G15" s="192">
        <f>IF(COUNT(E15,F15)&lt;2,"",F15-E15)</f>
        <v/>
      </c>
      <c r="H15" s="172" t="inlineStr">
        <is>
          <t>Department of Mineral and Petroleum Resources, zone lists effective 2 April 2014 and 3 April 2024</t>
        </is>
      </c>
    </row>
    <row r="16">
      <c r="A16" s="170" t="inlineStr">
        <is>
          <t>57C</t>
        </is>
      </c>
      <c r="B16" s="172" t="inlineStr">
        <is>
          <t>Mpumalanga, KwaZulu Natal</t>
        </is>
      </c>
      <c r="C16" s="190" t="n">
        <v>3</v>
      </c>
      <c r="D16" s="172" t="inlineStr">
        <is>
          <t>Paulpietersburg, Utrecht, Volksrust</t>
        </is>
      </c>
      <c r="E16" s="191" t="n">
        <v>30.5</v>
      </c>
      <c r="F16" s="191" t="n">
        <v>75.7</v>
      </c>
      <c r="G16" s="192">
        <f>IF(COUNT(E16,F16)&lt;2,"",F16-E16)</f>
        <v/>
      </c>
      <c r="H16" s="172" t="inlineStr">
        <is>
          <t>Department of Mineral and Petroleum Resources, zone lists effective 2 April 2014 and 3 April 2024</t>
        </is>
      </c>
    </row>
    <row r="17">
      <c r="A17" s="170" t="inlineStr">
        <is>
          <t>8C</t>
        </is>
      </c>
      <c r="B17" s="172" t="inlineStr">
        <is>
          <t>Mpumalanga, Free State</t>
        </is>
      </c>
      <c r="C17" s="190" t="n">
        <v>14</v>
      </c>
      <c r="D17" s="172" t="inlineStr">
        <is>
          <t>Amersfoort, Clocolan, Ermelo, Ficksburg, Frankfort, Heilbron</t>
        </is>
      </c>
      <c r="E17" s="191" t="n">
        <v>35.4</v>
      </c>
      <c r="F17" s="191" t="n">
        <v>93.09999999999999</v>
      </c>
      <c r="G17" s="192">
        <f>IF(COUNT(E17,F17)&lt;2,"",F17-E17)</f>
        <v/>
      </c>
      <c r="H17" s="172" t="inlineStr">
        <is>
          <t>Department of Mineral and Petroleum Resources, zone lists effective 2 April 2014 and 3 April 2024</t>
        </is>
      </c>
    </row>
    <row r="18">
      <c r="A18" s="170" t="inlineStr">
        <is>
          <t>58C</t>
        </is>
      </c>
      <c r="B18" s="172" t="inlineStr">
        <is>
          <t>Mpumalanga, KwaZulu Natal</t>
        </is>
      </c>
      <c r="C18" s="190" t="n">
        <v>3</v>
      </c>
      <c r="D18" s="172" t="inlineStr">
        <is>
          <t>Piet Retief, Simdlangentsha, Wakkerstroom</t>
        </is>
      </c>
      <c r="E18" s="191" t="n">
        <v>35.4</v>
      </c>
      <c r="F18" s="191" t="n">
        <v>93.09999999999999</v>
      </c>
      <c r="G18" s="192">
        <f>IF(COUNT(E18,F18)&lt;2,"",F18-E18)</f>
        <v/>
      </c>
      <c r="H18" s="172" t="inlineStr">
        <is>
          <t>Department of Mineral and Petroleum Resources, zone lists effective 2 April 2014 and 3 April 2024</t>
        </is>
      </c>
    </row>
    <row r="19">
      <c r="A19" s="170" t="inlineStr">
        <is>
          <t>10C</t>
        </is>
      </c>
      <c r="B19" s="172" t="inlineStr">
        <is>
          <t>Mpumalanga, Free State, North West, Limpopo</t>
        </is>
      </c>
      <c r="C19" s="190" t="n">
        <v>28</v>
      </c>
      <c r="D19" s="172" t="inlineStr">
        <is>
          <t>Bela-Bela (Warmbad), Belfast, Bloemhof, Brandfort, Bultfontein, Carolina</t>
        </is>
      </c>
      <c r="E19" s="191" t="n">
        <v>44.3</v>
      </c>
      <c r="F19" s="191" t="n">
        <v>104</v>
      </c>
      <c r="G19" s="192">
        <f>IF(COUNT(E19,F19)&lt;2,"",F19-E19)</f>
        <v/>
      </c>
      <c r="H19" s="172" t="inlineStr">
        <is>
          <t>Department of Mineral and Petroleum Resources, zone lists effective 2 April 2014 and 3 April 2024</t>
        </is>
      </c>
    </row>
    <row r="20">
      <c r="A20" s="170" t="inlineStr">
        <is>
          <t>61C</t>
        </is>
      </c>
      <c r="B20" s="172" t="inlineStr">
        <is>
          <t>Mpumalanga, Limpopo</t>
        </is>
      </c>
      <c r="C20" s="190" t="n">
        <v>8</v>
      </c>
      <c r="D20" s="172" t="inlineStr">
        <is>
          <t>Barberton, Mapulaneng, Mhala, Nelspruit, Nkomazi (Kamhulshwa), Nsikazi (Kangwane)</t>
        </is>
      </c>
      <c r="E20" s="191" t="n">
        <v>59.2</v>
      </c>
      <c r="F20" s="191" t="n">
        <v>128</v>
      </c>
      <c r="G20" s="192">
        <f>IF(COUNT(E20,F20)&lt;2,"",F20-E20)</f>
        <v/>
      </c>
      <c r="H20" s="172" t="inlineStr">
        <is>
          <t>Department of Mineral and Petroleum Resources, zone lists effective 2 April 2014 and 3 April 2024</t>
        </is>
      </c>
    </row>
    <row r="21">
      <c r="A21" s="170" t="inlineStr">
        <is>
          <t>6C</t>
        </is>
      </c>
      <c r="B21" s="172" t="inlineStr">
        <is>
          <t>Free State, KwaZulu Natal</t>
        </is>
      </c>
      <c r="C21" s="190" t="n">
        <v>8</v>
      </c>
      <c r="D21" s="172" t="inlineStr">
        <is>
          <t>Bergville, Dannhauser, Dundee, Glencoe, Harrismith, Newcastle</t>
        </is>
      </c>
      <c r="E21" s="191" t="n">
        <v>24.2</v>
      </c>
      <c r="F21" s="191" t="n">
        <v>59.1</v>
      </c>
      <c r="G21" s="192">
        <f>IF(COUNT(E21,F21)&lt;2,"",F21-E21)</f>
        <v/>
      </c>
      <c r="H21" s="172" t="inlineStr">
        <is>
          <t>Department of Mineral and Petroleum Resources, zone lists effective 2 April 2014 and 3 April 2024</t>
        </is>
      </c>
    </row>
    <row r="22">
      <c r="A22" s="170" t="inlineStr">
        <is>
          <t>7C</t>
        </is>
      </c>
      <c r="B22" s="172" t="inlineStr">
        <is>
          <t>Free State</t>
        </is>
      </c>
      <c r="C22" s="190" t="n">
        <v>3</v>
      </c>
      <c r="D22" s="172" t="inlineStr">
        <is>
          <t>Bethlehem, Fouriesburg, Witsieshoek</t>
        </is>
      </c>
      <c r="E22" s="191" t="n">
        <v>30.5</v>
      </c>
      <c r="F22" s="191" t="n">
        <v>75.7</v>
      </c>
      <c r="G22" s="192">
        <f>IF(COUNT(E22,F22)&lt;2,"",F22-E22)</f>
        <v/>
      </c>
      <c r="H22" s="172" t="inlineStr">
        <is>
          <t>Department of Mineral and Petroleum Resources, zone lists effective 2 April 2014 and 3 April 2024</t>
        </is>
      </c>
    </row>
    <row r="23">
      <c r="A23" s="170" t="inlineStr">
        <is>
          <t>8A</t>
        </is>
      </c>
      <c r="B23" s="172" t="inlineStr">
        <is>
          <t>Free State, Eastern Cape, Northern Cape</t>
        </is>
      </c>
      <c r="C23" s="190" t="n">
        <v>20</v>
      </c>
      <c r="D23" s="172" t="inlineStr">
        <is>
          <t>Barkly East, Bethulie, Colesberg, De Aar, Edenburg, Elliot</t>
        </is>
      </c>
      <c r="E23" s="191" t="n">
        <v>55.2</v>
      </c>
      <c r="F23" s="191" t="n">
        <v>87.59999999999999</v>
      </c>
      <c r="G23" s="192">
        <f>IF(COUNT(E23,F23)&lt;2,"",F23-E23)</f>
        <v/>
      </c>
      <c r="H23" s="172" t="inlineStr">
        <is>
          <t>Department of Mineral and Petroleum Resources, zone lists effective 2 April 2014 and 3 April 2024</t>
        </is>
      </c>
    </row>
    <row r="24">
      <c r="A24" s="170" t="inlineStr">
        <is>
          <t>9A</t>
        </is>
      </c>
      <c r="B24" s="172" t="inlineStr">
        <is>
          <t>Free State, Northern Cape</t>
        </is>
      </c>
      <c r="C24" s="190" t="n">
        <v>6</v>
      </c>
      <c r="D24" s="172" t="inlineStr">
        <is>
          <t>Britstown, Fauresmith, Hopetown, Koffiefontein, Philipstown, Prieska</t>
        </is>
      </c>
      <c r="E24" s="191" t="n">
        <v>72.09999999999999</v>
      </c>
      <c r="F24" s="191" t="n">
        <v>114.4</v>
      </c>
      <c r="G24" s="192">
        <f>IF(COUNT(E24,F24)&lt;2,"",F24-E24)</f>
        <v/>
      </c>
      <c r="H24" s="172" t="inlineStr">
        <is>
          <t>Department of Mineral and Petroleum Resources, zone lists effective 2 April 2014 and 3 April 2024</t>
        </is>
      </c>
    </row>
    <row r="25">
      <c r="A25" s="170" t="inlineStr">
        <is>
          <t>11C</t>
        </is>
      </c>
      <c r="B25" s="172" t="inlineStr">
        <is>
          <t>Free State, North West, Limpopo, Northern Cape</t>
        </is>
      </c>
      <c r="C25" s="190" t="n">
        <v>23</v>
      </c>
      <c r="D25" s="172" t="inlineStr">
        <is>
          <t>Barkly West, Bloemfontein, Boshof, Botshabelo, Delareyville, Dewetsdorp</t>
        </is>
      </c>
      <c r="E25" s="191" t="n">
        <v>59.2</v>
      </c>
      <c r="F25" s="191" t="n">
        <v>128</v>
      </c>
      <c r="G25" s="192">
        <f>IF(COUNT(E25,F25)&lt;2,"",F25-E25)</f>
        <v/>
      </c>
      <c r="H25" s="172" t="inlineStr">
        <is>
          <t>Department of Mineral and Petroleum Resources, zone lists effective 2 April 2014 and 3 April 2024</t>
        </is>
      </c>
    </row>
    <row r="26">
      <c r="A26" s="170" t="inlineStr">
        <is>
          <t>12C</t>
        </is>
      </c>
      <c r="B26" s="172" t="inlineStr">
        <is>
          <t>North West, Limpopo</t>
        </is>
      </c>
      <c r="C26" s="190" t="n">
        <v>6</v>
      </c>
      <c r="D26" s="172" t="inlineStr">
        <is>
          <t>Ditsobotla, Polokwane (Pietersburg) (south of tropic of capricorn), Seshego, Thabamoopo, Thabazimbi (east of 27o longitude), Vryburg (south of 26o30' latitude)</t>
        </is>
      </c>
      <c r="E26" s="191" t="n">
        <v>65</v>
      </c>
      <c r="F26" s="191" t="n">
        <v>132.8</v>
      </c>
      <c r="G26" s="192">
        <f>IF(COUNT(E26,F26)&lt;2,"",F26-E26)</f>
        <v/>
      </c>
      <c r="H26" s="172" t="inlineStr">
        <is>
          <t>Department of Mineral and Petroleum Resources, zone lists effective 2 April 2014 and 3 April 2024</t>
        </is>
      </c>
    </row>
    <row r="27">
      <c r="A27" s="170" t="inlineStr">
        <is>
          <t>13C</t>
        </is>
      </c>
      <c r="B27" s="172" t="inlineStr">
        <is>
          <t>North West, Limpopo, Northern Cape</t>
        </is>
      </c>
      <c r="C27" s="190" t="n">
        <v>14</v>
      </c>
      <c r="D27" s="172" t="inlineStr">
        <is>
          <t>Bochum, Dzanani Central (North of Makhado), Dzanani South (West of Makhado), Hlanganani, Kuruman (south of 27olatitude), Lephalale (Ellisras)</t>
        </is>
      </c>
      <c r="E27" s="191" t="n">
        <v>77.40000000000001</v>
      </c>
      <c r="F27" s="191" t="n">
        <v>152.3</v>
      </c>
      <c r="G27" s="192">
        <f>IF(COUNT(E27,F27)&lt;2,"",F27-E27)</f>
        <v/>
      </c>
      <c r="H27" s="172" t="inlineStr">
        <is>
          <t>Department of Mineral and Petroleum Resources, zone lists effective 2 April 2014 and 3 April 2024</t>
        </is>
      </c>
    </row>
    <row r="28">
      <c r="A28" s="170" t="inlineStr">
        <is>
          <t>15C</t>
        </is>
      </c>
      <c r="B28" s="172" t="inlineStr">
        <is>
          <t>North West</t>
        </is>
      </c>
      <c r="C28" s="190" t="n">
        <v>2</v>
      </c>
      <c r="D28" s="172" t="inlineStr">
        <is>
          <t>Ganyesa, Kudumane</t>
        </is>
      </c>
      <c r="E28" s="191" t="n">
        <v>80.8</v>
      </c>
      <c r="F28" s="191" t="n">
        <v>158.5</v>
      </c>
      <c r="G28" s="192">
        <f>IF(COUNT(E28,F28)&lt;2,"",F28-E28)</f>
        <v/>
      </c>
      <c r="H28" s="172" t="inlineStr">
        <is>
          <t>Department of Mineral and Petroleum Resources, zone lists effective 2 April 2014 and 3 April 2024</t>
        </is>
      </c>
    </row>
    <row r="29">
      <c r="A29" s="170" t="inlineStr">
        <is>
          <t>17C</t>
        </is>
      </c>
      <c r="B29" s="172" t="inlineStr">
        <is>
          <t>North West, Northern Cape</t>
        </is>
      </c>
      <c r="C29" s="190" t="n">
        <v>2</v>
      </c>
      <c r="D29" s="172" t="inlineStr">
        <is>
          <t>Kuruman (north of 27o latitude), Vryburg (west of 24o longitude)</t>
        </is>
      </c>
      <c r="E29" s="191" t="n">
        <v>93</v>
      </c>
      <c r="F29" s="191" t="n">
        <v>177.7</v>
      </c>
      <c r="G29" s="192">
        <f>IF(COUNT(E29,F29)&lt;2,"",F29-E29)</f>
        <v/>
      </c>
      <c r="H29" s="172" t="inlineStr">
        <is>
          <t>Department of Mineral and Petroleum Resources, zone lists effective 2 April 2014 and 3 April 2024</t>
        </is>
      </c>
    </row>
    <row r="30">
      <c r="A30" s="170" t="inlineStr">
        <is>
          <t>62C</t>
        </is>
      </c>
      <c r="B30" s="172" t="inlineStr">
        <is>
          <t>Limpopo</t>
        </is>
      </c>
      <c r="C30" s="190" t="n">
        <v>1</v>
      </c>
      <c r="D30" s="172" t="inlineStr">
        <is>
          <t>Lulekani</t>
        </is>
      </c>
      <c r="E30" s="191" t="n">
        <v>65</v>
      </c>
      <c r="F30" s="191" t="n">
        <v>132.8</v>
      </c>
      <c r="G30" s="192">
        <f>IF(COUNT(E30,F30)&lt;2,"",F30-E30)</f>
        <v/>
      </c>
      <c r="H30" s="172" t="inlineStr">
        <is>
          <t>Department of Mineral and Petroleum Resources, zone lists effective 2 April 2014 and 3 April 2024</t>
        </is>
      </c>
    </row>
    <row r="31">
      <c r="A31" s="170" t="inlineStr">
        <is>
          <t>63C</t>
        </is>
      </c>
      <c r="B31" s="172" t="inlineStr">
        <is>
          <t>Limpopo</t>
        </is>
      </c>
      <c r="C31" s="190" t="n">
        <v>7</v>
      </c>
      <c r="D31" s="172" t="inlineStr">
        <is>
          <t>Bolobedu, Letaba, Namakgale, Naphuno, Phalaborwa, Ritavi</t>
        </is>
      </c>
      <c r="E31" s="191" t="n">
        <v>77.40000000000001</v>
      </c>
      <c r="F31" s="191" t="n">
        <v>152.3</v>
      </c>
      <c r="G31" s="192">
        <f>IF(COUNT(E31,F31)&lt;2,"",F31-E31)</f>
        <v/>
      </c>
      <c r="H31" s="172" t="inlineStr">
        <is>
          <t>Department of Mineral and Petroleum Resources, zone lists effective 2 April 2014 and 3 April 2024</t>
        </is>
      </c>
    </row>
    <row r="32">
      <c r="A32" s="170" t="inlineStr">
        <is>
          <t>16C</t>
        </is>
      </c>
      <c r="B32" s="172" t="inlineStr">
        <is>
          <t>Limpopo</t>
        </is>
      </c>
      <c r="C32" s="190" t="n">
        <v>4</v>
      </c>
      <c r="D32" s="172" t="inlineStr">
        <is>
          <t>Mokerong 1 (East of Lephalale), Mokopane (Potgietersrus) (north of tropic of capricorn), Musina (Messina) (West of 30o longitude), Soutpansberg (west of 29o 30' longitude)</t>
        </is>
      </c>
      <c r="E32" s="191" t="n">
        <v>79.7</v>
      </c>
      <c r="F32" s="191" t="n">
        <v>155.9</v>
      </c>
      <c r="G32" s="192">
        <f>IF(COUNT(E32,F32)&lt;2,"",F32-E32)</f>
        <v/>
      </c>
      <c r="H32" s="172" t="inlineStr">
        <is>
          <t>Department of Mineral and Petroleum Resources, zone lists effective 2 April 2014 and 3 April 2024</t>
        </is>
      </c>
    </row>
    <row r="33">
      <c r="A33" s="170" t="inlineStr">
        <is>
          <t>14C</t>
        </is>
      </c>
      <c r="B33" s="172" t="inlineStr">
        <is>
          <t>Limpopo</t>
        </is>
      </c>
      <c r="C33" s="190" t="n">
        <v>3</v>
      </c>
      <c r="D33" s="172" t="inlineStr">
        <is>
          <t>Dzanani North (East of Musina), Musina (Messina) (East of 30o longitude), Mutale</t>
        </is>
      </c>
      <c r="E33" s="191" t="n">
        <v>92.2</v>
      </c>
      <c r="F33" s="191" t="n">
        <v>175.8</v>
      </c>
      <c r="G33" s="192">
        <f>IF(COUNT(E33,F33)&lt;2,"",F33-E33)</f>
        <v/>
      </c>
      <c r="H33" s="172" t="inlineStr">
        <is>
          <t>Department of Mineral and Petroleum Resources, zone lists effective 2 April 2014 and 3 April 2024</t>
        </is>
      </c>
    </row>
    <row r="34">
      <c r="A34" s="170" t="inlineStr">
        <is>
          <t>64C</t>
        </is>
      </c>
      <c r="B34" s="172" t="inlineStr">
        <is>
          <t>Limpopo</t>
        </is>
      </c>
      <c r="C34" s="190" t="n">
        <v>2</v>
      </c>
      <c r="D34" s="172" t="inlineStr">
        <is>
          <t>Giyani, Malamulele</t>
        </is>
      </c>
      <c r="E34" s="191" t="n">
        <v>92.2</v>
      </c>
      <c r="F34" s="191" t="n">
        <v>175.8</v>
      </c>
      <c r="G34" s="192">
        <f>IF(COUNT(E34,F34)&lt;2,"",F34-E34)</f>
        <v/>
      </c>
      <c r="H34" s="172" t="inlineStr">
        <is>
          <t>Department of Mineral and Petroleum Resources, zone lists effective 2 April 2014 and 3 April 2024</t>
        </is>
      </c>
    </row>
    <row r="35">
      <c r="A35" s="170" t="inlineStr">
        <is>
          <t>67C</t>
        </is>
      </c>
      <c r="B35" s="172" t="inlineStr">
        <is>
          <t>Limpopo</t>
        </is>
      </c>
      <c r="C35" s="190" t="n">
        <v>1</v>
      </c>
      <c r="D35" s="172" t="inlineStr">
        <is>
          <t>Thohoyandou (east of 31o longitude)</t>
        </is>
      </c>
      <c r="E35" s="191" t="n">
        <v>93</v>
      </c>
      <c r="F35" s="191" t="n">
        <v>177.7</v>
      </c>
      <c r="G35" s="192">
        <f>IF(COUNT(E35,F35)&lt;2,"",F35-E35)</f>
        <v/>
      </c>
      <c r="H35" s="172" t="inlineStr">
        <is>
          <t>Department of Mineral and Petroleum Resources, zone lists effective 2 April 2014 and 3 April 2024</t>
        </is>
      </c>
    </row>
    <row r="36">
      <c r="A36" s="189" t="inlineStr">
        <is>
          <t>1A (coast)</t>
        </is>
      </c>
      <c r="B36" s="172" t="inlineStr">
        <is>
          <t>KwaZulu Natal, Eastern Cape, Western Cape</t>
        </is>
      </c>
      <c r="C36" s="190" t="n">
        <v>17</v>
      </c>
      <c r="D36" s="172" t="inlineStr">
        <is>
          <t>Bellville, Cape Town, Chatsworth, Durban, East London, Goodwood</t>
        </is>
      </c>
      <c r="E36" s="191" t="n">
        <v>2.5</v>
      </c>
      <c r="F36" s="191" t="n">
        <v>3.8</v>
      </c>
      <c r="G36" s="192">
        <f>IF(COUNT(E36,F36)&lt;2,"",F36-E36)</f>
        <v/>
      </c>
      <c r="H36" s="172" t="inlineStr">
        <is>
          <t>Department of Mineral and Petroleum Resources, zone lists effective 2 April 2014 and 3 April 2024</t>
        </is>
      </c>
    </row>
    <row r="37">
      <c r="A37" s="170" t="inlineStr">
        <is>
          <t>2A</t>
        </is>
      </c>
      <c r="B37" s="172" t="inlineStr">
        <is>
          <t>KwaZulu Natal, Eastern Cape, Western Cape</t>
        </is>
      </c>
      <c r="C37" s="190" t="n">
        <v>9</v>
      </c>
      <c r="D37" s="172" t="inlineStr">
        <is>
          <t>Camperdown, Ndwedwe, Paarl, Somerset West, Stellenbosch, Strand</t>
        </is>
      </c>
      <c r="E37" s="191" t="n">
        <v>6.4</v>
      </c>
      <c r="F37" s="191" t="n">
        <v>10.1</v>
      </c>
      <c r="G37" s="192">
        <f>IF(COUNT(E37,F37)&lt;2,"",F37-E37)</f>
        <v/>
      </c>
      <c r="H37" s="172" t="inlineStr">
        <is>
          <t>Department of Mineral and Petroleum Resources, zone lists effective 2 April 2014 and 3 April 2024</t>
        </is>
      </c>
    </row>
    <row r="38">
      <c r="A38" s="170" t="inlineStr">
        <is>
          <t>3A</t>
        </is>
      </c>
      <c r="B38" s="172" t="inlineStr">
        <is>
          <t>KwaZulu Natal, Eastern Cape, Western Cape</t>
        </is>
      </c>
      <c r="C38" s="190" t="n">
        <v>11</v>
      </c>
      <c r="D38" s="172" t="inlineStr">
        <is>
          <t>George, Hankey, King Williams Town, Kirkwood, Komga, Lower Tugela</t>
        </is>
      </c>
      <c r="E38" s="191" t="n">
        <v>10</v>
      </c>
      <c r="F38" s="191" t="n">
        <v>15.8</v>
      </c>
      <c r="G38" s="192">
        <f>IF(COUNT(E38,F38)&lt;2,"",F38-E38)</f>
        <v/>
      </c>
      <c r="H38" s="172" t="inlineStr">
        <is>
          <t>Department of Mineral and Petroleum Resources, zone lists effective 2 April 2014 and 3 April 2024</t>
        </is>
      </c>
    </row>
    <row r="39">
      <c r="A39" s="170" t="inlineStr">
        <is>
          <t>4A</t>
        </is>
      </c>
      <c r="B39" s="172" t="inlineStr">
        <is>
          <t>KwaZulu Natal, Eastern Cape, Western Cape</t>
        </is>
      </c>
      <c r="C39" s="190" t="n">
        <v>18</v>
      </c>
      <c r="D39" s="172" t="inlineStr">
        <is>
          <t>Albany, Alexandria, Calitzdorp, Eshowe, Heidelberg (W.Cape), Ixopo</t>
        </is>
      </c>
      <c r="E39" s="191" t="n">
        <v>14.7</v>
      </c>
      <c r="F39" s="191" t="n">
        <v>23.2</v>
      </c>
      <c r="G39" s="192">
        <f>IF(COUNT(E39,F39)&lt;2,"",F39-E39)</f>
        <v/>
      </c>
      <c r="H39" s="172" t="inlineStr">
        <is>
          <t>Department of Mineral and Petroleum Resources, zone lists effective 2 April 2014 and 3 April 2024</t>
        </is>
      </c>
    </row>
    <row r="40">
      <c r="A40" s="170" t="inlineStr">
        <is>
          <t>3B</t>
        </is>
      </c>
      <c r="B40" s="172" t="inlineStr">
        <is>
          <t>KwaZulu Natal, Eastern Cape</t>
        </is>
      </c>
      <c r="C40" s="190" t="n">
        <v>4</v>
      </c>
      <c r="D40" s="172" t="inlineStr">
        <is>
          <t>Humansdorp, Lions River, New Hanover, Pietermaritzburg</t>
        </is>
      </c>
      <c r="E40" s="191" t="n">
        <v>15.3</v>
      </c>
      <c r="F40" s="191" t="n">
        <v>24.1</v>
      </c>
      <c r="G40" s="192">
        <f>IF(COUNT(E40,F40)&lt;2,"",F40-E40)</f>
        <v/>
      </c>
      <c r="H40" s="172" t="inlineStr">
        <is>
          <t>Department of Mineral and Petroleum Resources, zone lists effective 2 April 2014 and 3 April 2024</t>
        </is>
      </c>
    </row>
    <row r="41">
      <c r="A41" s="170" t="inlineStr">
        <is>
          <t>5A</t>
        </is>
      </c>
      <c r="B41" s="172" t="inlineStr">
        <is>
          <t>KwaZulu Natal, Eastern Cape, Western Cape</t>
        </is>
      </c>
      <c r="C41" s="190" t="n">
        <v>33</v>
      </c>
      <c r="D41" s="172" t="inlineStr">
        <is>
          <t>Adelaide, Alfred, Bathurst (Port Alfred), Bedford, Caledon, Cathcart</t>
        </is>
      </c>
      <c r="E41" s="191" t="n">
        <v>21.2</v>
      </c>
      <c r="F41" s="191" t="n">
        <v>33.6</v>
      </c>
      <c r="G41" s="192">
        <f>IF(COUNT(E41,F41)&lt;2,"",F41-E41)</f>
        <v/>
      </c>
      <c r="H41" s="172" t="inlineStr">
        <is>
          <t>Department of Mineral and Petroleum Resources, zone lists effective 2 April 2014 and 3 April 2024</t>
        </is>
      </c>
    </row>
    <row r="42">
      <c r="A42" s="170" t="inlineStr">
        <is>
          <t>5B</t>
        </is>
      </c>
      <c r="B42" s="172" t="inlineStr">
        <is>
          <t>KwaZulu Natal</t>
        </is>
      </c>
      <c r="C42" s="190" t="n">
        <v>8</v>
      </c>
      <c r="D42" s="172" t="inlineStr">
        <is>
          <t>Estcourt, Impendle, Mooirivier, Msinga, Polela, Umvoti</t>
        </is>
      </c>
      <c r="E42" s="191" t="n">
        <v>24.1</v>
      </c>
      <c r="F42" s="191" t="n">
        <v>38.1</v>
      </c>
      <c r="G42" s="192">
        <f>IF(COUNT(E42,F42)&lt;2,"",F42-E42)</f>
        <v/>
      </c>
      <c r="H42" s="172" t="inlineStr">
        <is>
          <t>Department of Mineral and Petroleum Resources, zone lists effective 2 April 2014 and 3 April 2024</t>
        </is>
      </c>
    </row>
    <row r="43">
      <c r="A43" s="170" t="inlineStr">
        <is>
          <t>6A</t>
        </is>
      </c>
      <c r="B43" s="172" t="inlineStr">
        <is>
          <t>KwaZulu Natal, Eastern Cape, Western Cape</t>
        </is>
      </c>
      <c r="C43" s="190" t="n">
        <v>7</v>
      </c>
      <c r="D43" s="172" t="inlineStr">
        <is>
          <t>Babanango, Bredasdorp, Glen Grey/Cacadu/Lady Frere, Mahlabatini, Molteno, Nongoma</t>
        </is>
      </c>
      <c r="E43" s="191" t="n">
        <v>30.7</v>
      </c>
      <c r="F43" s="191" t="n">
        <v>48.6</v>
      </c>
      <c r="G43" s="192">
        <f>IF(COUNT(E43,F43)&lt;2,"",F43-E43)</f>
        <v/>
      </c>
      <c r="H43" s="172" t="inlineStr">
        <is>
          <t>Department of Mineral and Petroleum Resources, zone lists effective 2 April 2014 and 3 April 2024</t>
        </is>
      </c>
    </row>
    <row r="44">
      <c r="A44" s="170" t="inlineStr">
        <is>
          <t>5C</t>
        </is>
      </c>
      <c r="B44" s="172" t="inlineStr">
        <is>
          <t>KwaZulu Natal</t>
        </is>
      </c>
      <c r="C44" s="190" t="n">
        <v>1</v>
      </c>
      <c r="D44" s="172" t="inlineStr">
        <is>
          <t>Kliprivier</t>
        </is>
      </c>
      <c r="E44" s="191" t="n">
        <v>9.6</v>
      </c>
      <c r="F44" s="191" t="n">
        <v>49.1</v>
      </c>
      <c r="G44" s="192">
        <f>IF(COUNT(E44,F44)&lt;2,"",F44-E44)</f>
        <v/>
      </c>
      <c r="H44" s="172" t="inlineStr">
        <is>
          <t>Department of Mineral and Petroleum Resources, zone lists effective 2 April 2014 and 3 April 2024</t>
        </is>
      </c>
    </row>
    <row r="45">
      <c r="A45" s="170" t="inlineStr">
        <is>
          <t>57A</t>
        </is>
      </c>
      <c r="B45" s="172" t="inlineStr">
        <is>
          <t>KwaZulu Natal, Eastern Cape</t>
        </is>
      </c>
      <c r="C45" s="190" t="n">
        <v>15</v>
      </c>
      <c r="D45" s="172" t="inlineStr">
        <is>
          <t>Engcobo, Hofmeyer, Indwe, Ingwavuma, Libode, Maluki (Matatiele)</t>
        </is>
      </c>
      <c r="E45" s="191" t="n">
        <v>39.1</v>
      </c>
      <c r="F45" s="191" t="n">
        <v>62</v>
      </c>
      <c r="G45" s="192">
        <f>IF(COUNT(E45,F45)&lt;2,"",F45-E45)</f>
        <v/>
      </c>
      <c r="H45" s="172" t="inlineStr">
        <is>
          <t>Department of Mineral and Petroleum Resources, zone lists effective 2 April 2014 and 3 April 2024</t>
        </is>
      </c>
    </row>
    <row r="46">
      <c r="A46" s="170" t="inlineStr">
        <is>
          <t>7B</t>
        </is>
      </c>
      <c r="B46" s="172" t="inlineStr">
        <is>
          <t>Eastern Cape, Western Cape</t>
        </is>
      </c>
      <c r="C46" s="190" t="n">
        <v>8</v>
      </c>
      <c r="D46" s="172" t="inlineStr">
        <is>
          <t>Clanwilliam, Jansenville, Joubertina, Laingsburg, Prince Albert, Somerset East</t>
        </is>
      </c>
      <c r="E46" s="191" t="n">
        <v>27</v>
      </c>
      <c r="F46" s="191" t="n">
        <v>42.8</v>
      </c>
      <c r="G46" s="192">
        <f>IF(COUNT(E46,F46)&lt;2,"",F46-E46)</f>
        <v/>
      </c>
      <c r="H46" s="172" t="inlineStr">
        <is>
          <t>Department of Mineral and Petroleum Resources, zone lists effective 2 April 2014 and 3 April 2024</t>
        </is>
      </c>
    </row>
    <row r="47">
      <c r="A47" s="170" t="inlineStr">
        <is>
          <t>9B</t>
        </is>
      </c>
      <c r="B47" s="172" t="inlineStr">
        <is>
          <t>Eastern Cape, Western Cape</t>
        </is>
      </c>
      <c r="C47" s="190" t="n">
        <v>7</v>
      </c>
      <c r="D47" s="172" t="inlineStr">
        <is>
          <t>Aberdeen, Bizana, Graaffreinett, Murraysburg, Sipangeni (Flagstaff), Van Rhynsdorp</t>
        </is>
      </c>
      <c r="E47" s="191" t="n">
        <v>34.9</v>
      </c>
      <c r="F47" s="191" t="n">
        <v>55.4</v>
      </c>
      <c r="G47" s="192">
        <f>IF(COUNT(E47,F47)&lt;2,"",F47-E47)</f>
        <v/>
      </c>
      <c r="H47" s="172" t="inlineStr">
        <is>
          <t>Department of Mineral and Petroleum Resources, zone lists effective 2 April 2014 and 3 April 2024</t>
        </is>
      </c>
    </row>
    <row r="48">
      <c r="A48" s="170" t="inlineStr">
        <is>
          <t>8B</t>
        </is>
      </c>
      <c r="B48" s="172" t="inlineStr">
        <is>
          <t>Eastern Cape, Western Cape, Northern Cape</t>
        </is>
      </c>
      <c r="C48" s="190" t="n">
        <v>4</v>
      </c>
      <c r="D48" s="172" t="inlineStr">
        <is>
          <t>Beaufort West, Cradock, Fraserburg, Pearston</t>
        </is>
      </c>
      <c r="E48" s="191" t="n">
        <v>37</v>
      </c>
      <c r="F48" s="191" t="n">
        <v>58.7</v>
      </c>
      <c r="G48" s="192">
        <f>IF(COUNT(E48,F48)&lt;2,"",F48-E48)</f>
        <v/>
      </c>
      <c r="H48" s="172" t="inlineStr">
        <is>
          <t>Department of Mineral and Petroleum Resources, zone lists effective 2 April 2014 and 3 April 2024</t>
        </is>
      </c>
    </row>
    <row r="49">
      <c r="A49" s="170" t="inlineStr">
        <is>
          <t>7A</t>
        </is>
      </c>
      <c r="B49" s="172" t="inlineStr">
        <is>
          <t>Eastern Cape, Northern Cape</t>
        </is>
      </c>
      <c r="C49" s="190" t="n">
        <v>6</v>
      </c>
      <c r="D49" s="172" t="inlineStr">
        <is>
          <t>Albert, Aliwal North, Noupoort, Steynsburg, Wodehouse, Xalanga</t>
        </is>
      </c>
      <c r="E49" s="191" t="n">
        <v>39.1</v>
      </c>
      <c r="F49" s="191" t="n">
        <v>62</v>
      </c>
      <c r="G49" s="192">
        <f>IF(COUNT(E49,F49)&lt;2,"",F49-E49)</f>
        <v/>
      </c>
      <c r="H49" s="172" t="inlineStr">
        <is>
          <t>Department of Mineral and Petroleum Resources, zone lists effective 2 April 2014 and 3 April 2024</t>
        </is>
      </c>
    </row>
    <row r="50">
      <c r="A50" s="170" t="inlineStr">
        <is>
          <t>10B</t>
        </is>
      </c>
      <c r="B50" s="172" t="inlineStr">
        <is>
          <t>Eastern Cape, Northern Cape</t>
        </is>
      </c>
      <c r="C50" s="190" t="n">
        <v>6</v>
      </c>
      <c r="D50" s="172" t="inlineStr">
        <is>
          <t>Carnavon, Kwabhaca (Mount Frere), Lusikisiki (PortStJohns), Maxesibeni (Mount Ayliff), Tabankulu, Williston</t>
        </is>
      </c>
      <c r="E50" s="191" t="n">
        <v>44.2</v>
      </c>
      <c r="F50" s="191" t="n">
        <v>70.09999999999999</v>
      </c>
      <c r="G50" s="192">
        <f>IF(COUNT(E50,F50)&lt;2,"",F50-E50)</f>
        <v/>
      </c>
      <c r="H50" s="172" t="inlineStr">
        <is>
          <t>Department of Mineral and Petroleum Resources, zone lists effective 2 April 2014 and 3 April 2024</t>
        </is>
      </c>
    </row>
    <row r="51">
      <c r="A51" s="170" t="inlineStr">
        <is>
          <t>12B</t>
        </is>
      </c>
      <c r="B51" s="172" t="inlineStr">
        <is>
          <t>Eastern Cape, Northern Cape</t>
        </is>
      </c>
      <c r="C51" s="190" t="n">
        <v>5</v>
      </c>
      <c r="D51" s="172" t="inlineStr">
        <is>
          <t>Calvinia (west of 20o longitude), Mount Fletcher, Sutherland, Umzimvubu, Victoria West</t>
        </is>
      </c>
      <c r="E51" s="191" t="n">
        <v>47.8</v>
      </c>
      <c r="F51" s="191" t="n">
        <v>75.8</v>
      </c>
      <c r="G51" s="192">
        <f>IF(COUNT(E51,F51)&lt;2,"",F51-E51)</f>
        <v/>
      </c>
      <c r="H51" s="172" t="inlineStr">
        <is>
          <t>Department of Mineral and Petroleum Resources, zone lists effective 2 April 2014 and 3 April 2024</t>
        </is>
      </c>
    </row>
    <row r="52">
      <c r="A52" s="170" t="inlineStr">
        <is>
          <t>6B</t>
        </is>
      </c>
      <c r="B52" s="172" t="inlineStr">
        <is>
          <t>Western Cape</t>
        </is>
      </c>
      <c r="C52" s="190" t="n">
        <v>3</v>
      </c>
      <c r="D52" s="172" t="inlineStr">
        <is>
          <t>Ladismith (Cape), Piketberg, Uniondale</t>
        </is>
      </c>
      <c r="E52" s="191" t="n">
        <v>19</v>
      </c>
      <c r="F52" s="191" t="n">
        <v>30.1</v>
      </c>
      <c r="G52" s="192">
        <f>IF(COUNT(E52,F52)&lt;2,"",F52-E52)</f>
        <v/>
      </c>
      <c r="H52" s="172" t="inlineStr">
        <is>
          <t>Department of Mineral and Petroleum Resources, zone lists effective 2 April 2014 and 3 April 2024</t>
        </is>
      </c>
    </row>
    <row r="53">
      <c r="A53" s="170" t="inlineStr">
        <is>
          <t>14B</t>
        </is>
      </c>
      <c r="B53" s="172" t="inlineStr">
        <is>
          <t>Northern Cape</t>
        </is>
      </c>
      <c r="C53" s="190" t="n">
        <v>1</v>
      </c>
      <c r="D53" s="172" t="inlineStr">
        <is>
          <t>Calvinia (east of 20o longitude)</t>
        </is>
      </c>
      <c r="E53" s="191" t="n">
        <v>55.9</v>
      </c>
      <c r="F53" s="191" t="n">
        <v>88.59999999999999</v>
      </c>
      <c r="G53" s="192">
        <f>IF(COUNT(E53,F53)&lt;2,"",F53-E53)</f>
        <v/>
      </c>
      <c r="H53" s="172" t="inlineStr">
        <is>
          <t>Department of Mineral and Petroleum Resources, zone lists effective 2 April 2014 and 3 April 2024</t>
        </is>
      </c>
    </row>
    <row r="54">
      <c r="A54" s="170" t="inlineStr">
        <is>
          <t>31J</t>
        </is>
      </c>
      <c r="B54" s="172" t="inlineStr">
        <is>
          <t>Northern Cape</t>
        </is>
      </c>
      <c r="C54" s="190" t="n">
        <v>1</v>
      </c>
      <c r="D54" s="172" t="inlineStr">
        <is>
          <t>Namakwaland South (south of 30o latitude)</t>
        </is>
      </c>
      <c r="E54" s="191" t="n">
        <v>56.1</v>
      </c>
      <c r="F54" s="191" t="n">
        <v>89</v>
      </c>
      <c r="G54" s="192">
        <f>IF(COUNT(E54,F54)&lt;2,"",F54-E54)</f>
        <v/>
      </c>
      <c r="H54" s="172" t="inlineStr">
        <is>
          <t>Department of Mineral and Petroleum Resources, zone lists effective 2 April 2014 and 3 April 2024</t>
        </is>
      </c>
    </row>
    <row r="55">
      <c r="A55" s="170" t="inlineStr">
        <is>
          <t>32J</t>
        </is>
      </c>
      <c r="B55" s="172" t="inlineStr">
        <is>
          <t>Northern Cape</t>
        </is>
      </c>
      <c r="C55" s="190" t="n">
        <v>1</v>
      </c>
      <c r="D55" s="172" t="inlineStr">
        <is>
          <t>Namakwaland Central (between 29o and 30o latitude and between 17o30' and 18o30' longitude)</t>
        </is>
      </c>
      <c r="E55" s="191" t="n">
        <v>76.3</v>
      </c>
      <c r="F55" s="191" t="n">
        <v>114.5</v>
      </c>
      <c r="G55" s="192">
        <f>IF(COUNT(E55,F55)&lt;2,"",F55-E55)</f>
        <v/>
      </c>
      <c r="H55" s="172" t="inlineStr">
        <is>
          <t>Department of Mineral and Petroleum Resources, zone lists effective 2 April 2014 and 3 April 2024</t>
        </is>
      </c>
    </row>
    <row r="56">
      <c r="A56" s="170" t="inlineStr">
        <is>
          <t>34J</t>
        </is>
      </c>
      <c r="B56" s="172" t="inlineStr">
        <is>
          <t>Northern Cape</t>
        </is>
      </c>
      <c r="C56" s="190" t="n">
        <v>1</v>
      </c>
      <c r="D56" s="172" t="inlineStr">
        <is>
          <t>Namakwaland Vioolsdrif (north of 29o latitude and east of 17o longitude)</t>
        </is>
      </c>
      <c r="E56" s="191" t="n">
        <v>85.90000000000001</v>
      </c>
      <c r="F56" s="191" t="n">
        <v>130.7</v>
      </c>
      <c r="G56" s="192">
        <f>IF(COUNT(E56,F56)&lt;2,"",F56-E56)</f>
        <v/>
      </c>
      <c r="H56" s="172" t="inlineStr">
        <is>
          <t>Department of Mineral and Petroleum Resources, zone lists effective 2 April 2014 and 3 April 2024</t>
        </is>
      </c>
    </row>
    <row r="57">
      <c r="A57" s="170" t="inlineStr">
        <is>
          <t>33J</t>
        </is>
      </c>
      <c r="B57" s="172" t="inlineStr">
        <is>
          <t>Northern Cape</t>
        </is>
      </c>
      <c r="C57" s="190" t="n">
        <v>1</v>
      </c>
      <c r="D57" s="172" t="inlineStr">
        <is>
          <t>Namakwaland Aggeneys(east of 18o30' longitude and north of 30o latitude)</t>
        </is>
      </c>
      <c r="E57" s="191" t="n">
        <v>87.3</v>
      </c>
      <c r="F57" s="191" t="n">
        <v>133.3</v>
      </c>
      <c r="G57" s="192">
        <f>IF(COUNT(E57,F57)&lt;2,"",F57-E57)</f>
        <v/>
      </c>
      <c r="H57" s="172" t="inlineStr">
        <is>
          <t>Department of Mineral and Petroleum Resources, zone lists effective 2 April 2014 and 3 April 2024</t>
        </is>
      </c>
    </row>
    <row r="58">
      <c r="A58" s="170" t="inlineStr">
        <is>
          <t>15A</t>
        </is>
      </c>
      <c r="B58" s="172" t="inlineStr">
        <is>
          <t>Northern Cape</t>
        </is>
      </c>
      <c r="C58" s="190" t="n">
        <v>1</v>
      </c>
      <c r="D58" s="172" t="inlineStr">
        <is>
          <t>Kenhardt (east of 20o longitude)</t>
        </is>
      </c>
      <c r="E58" s="191" t="n">
        <v>84.7</v>
      </c>
      <c r="F58" s="191" t="n">
        <v>134</v>
      </c>
      <c r="G58" s="192">
        <f>IF(COUNT(E58,F58)&lt;2,"",F58-E58)</f>
        <v/>
      </c>
      <c r="H58" s="172" t="inlineStr">
        <is>
          <t>Department of Mineral and Petroleum Resources, zone lists effective 2 April 2014 and 3 April 2024</t>
        </is>
      </c>
    </row>
    <row r="59">
      <c r="A59" s="170" t="inlineStr">
        <is>
          <t>36J</t>
        </is>
      </c>
      <c r="B59" s="172" t="inlineStr">
        <is>
          <t>Northern Cape</t>
        </is>
      </c>
      <c r="C59" s="190" t="n">
        <v>1</v>
      </c>
      <c r="D59" s="172" t="inlineStr">
        <is>
          <t>Namakwaland Kleinsee (between 29o and 30o latitude and between 17o and 17o30' longitude)</t>
        </is>
      </c>
      <c r="E59" s="191" t="n">
        <v>89.7</v>
      </c>
      <c r="F59" s="191" t="n">
        <v>138.4</v>
      </c>
      <c r="G59" s="192">
        <f>IF(COUNT(E59,F59)&lt;2,"",F59-E59)</f>
        <v/>
      </c>
      <c r="H59" s="172" t="inlineStr">
        <is>
          <t>Department of Mineral and Petroleum Resources, zone lists effective 2 April 2014 and 3 April 2024</t>
        </is>
      </c>
    </row>
    <row r="60">
      <c r="A60" s="170" t="inlineStr">
        <is>
          <t>35J</t>
        </is>
      </c>
      <c r="B60" s="172" t="inlineStr">
        <is>
          <t>Northern Cape</t>
        </is>
      </c>
      <c r="C60" s="190" t="n">
        <v>1</v>
      </c>
      <c r="D60" s="172" t="inlineStr">
        <is>
          <t>Namakwaland Port Nolloth (south of 29o latitude and west of 17o longitude)</t>
        </is>
      </c>
      <c r="E60" s="191" t="n">
        <v>89.7</v>
      </c>
      <c r="F60" s="191" t="n">
        <v>138.8</v>
      </c>
      <c r="G60" s="192">
        <f>IF(COUNT(E60,F60)&lt;2,"",F60-E60)</f>
        <v/>
      </c>
      <c r="H60" s="172" t="inlineStr">
        <is>
          <t>Department of Mineral and Petroleum Resources, zone lists effective 2 April 2014 and 3 April 2024</t>
        </is>
      </c>
    </row>
    <row r="61">
      <c r="A61" s="170" t="inlineStr">
        <is>
          <t>37J</t>
        </is>
      </c>
      <c r="B61" s="172" t="inlineStr">
        <is>
          <t>Northern Cape</t>
        </is>
      </c>
      <c r="C61" s="190" t="n">
        <v>1</v>
      </c>
      <c r="D61" s="172" t="inlineStr">
        <is>
          <t>Namakwaland Alexander Bay (north of 29o latitude and west of 17o longitude)</t>
        </is>
      </c>
      <c r="E61" s="191" t="n">
        <v>99.7</v>
      </c>
      <c r="F61" s="191" t="n">
        <v>155.7</v>
      </c>
      <c r="G61" s="192">
        <f>IF(COUNT(E61,F61)&lt;2,"",F61-E61)</f>
        <v/>
      </c>
      <c r="H61" s="172" t="inlineStr">
        <is>
          <t>Department of Mineral and Petroleum Resources, zone lists effective 2 April 2014 and 3 April 2024</t>
        </is>
      </c>
    </row>
    <row r="62">
      <c r="A62" s="170" t="inlineStr">
        <is>
          <t>19A</t>
        </is>
      </c>
      <c r="B62" s="172" t="inlineStr">
        <is>
          <t>Northern Cape</t>
        </is>
      </c>
      <c r="C62" s="190" t="n">
        <v>1</v>
      </c>
      <c r="D62" s="172" t="inlineStr">
        <is>
          <t>Gordonia (north of 27o30' latitude)</t>
        </is>
      </c>
      <c r="E62" s="191" t="n">
        <v>106.6</v>
      </c>
      <c r="F62" s="191" t="n">
        <v>167.3</v>
      </c>
      <c r="G62" s="192">
        <f>IF(COUNT(E62,F62)&lt;2,"",F62-E62)</f>
        <v/>
      </c>
      <c r="H62" s="172" t="inlineStr">
        <is>
          <t>Department of Mineral and Petroleum Resources, zone lists effective 2 April 2014 and 3 April 2024</t>
        </is>
      </c>
    </row>
    <row r="63">
      <c r="A63" s="170" t="inlineStr">
        <is>
          <t>69A</t>
        </is>
      </c>
      <c r="B63" s="172" t="inlineStr">
        <is>
          <t>Northern Cape</t>
        </is>
      </c>
      <c r="C63" s="190" t="n">
        <v>1</v>
      </c>
      <c r="D63" s="172" t="inlineStr">
        <is>
          <t>Kenhardt (west of 20o longitude)</t>
        </is>
      </c>
      <c r="E63" s="191" t="n">
        <v>106.6</v>
      </c>
      <c r="F63" s="191" t="n">
        <v>167.3</v>
      </c>
      <c r="G63" s="192">
        <f>IF(COUNT(E63,F63)&lt;2,"",F63-E63)</f>
        <v/>
      </c>
      <c r="H63" s="172" t="inlineStr">
        <is>
          <t>Department of Mineral and Petroleum Resources, zone lists effective 2 April 2014 and 3 April 2024</t>
        </is>
      </c>
    </row>
    <row r="64">
      <c r="A64" s="170" t="inlineStr">
        <is>
          <t>11A</t>
        </is>
      </c>
      <c r="B64" s="172" t="inlineStr">
        <is>
          <t>Northern Cape</t>
        </is>
      </c>
      <c r="C64" s="190" t="n">
        <v>1</v>
      </c>
      <c r="D64" s="172" t="inlineStr">
        <is>
          <t>Hay</t>
        </is>
      </c>
      <c r="E64" s="191" t="n">
        <v>87.5</v>
      </c>
      <c r="F64" s="191" t="n">
        <v>169.9</v>
      </c>
      <c r="G64" s="192">
        <f>IF(COUNT(E64,F64)&lt;2,"",F64-E64)</f>
        <v/>
      </c>
      <c r="H64" s="172" t="inlineStr">
        <is>
          <t>Department of Mineral and Petroleum Resources, zone lists effective 2 April 2014 and 3 April 2024</t>
        </is>
      </c>
    </row>
    <row r="65">
      <c r="A65" s="170" t="inlineStr">
        <is>
          <t>13A</t>
        </is>
      </c>
      <c r="B65" s="172" t="inlineStr">
        <is>
          <t>Northern Cape</t>
        </is>
      </c>
      <c r="C65" s="190" t="n">
        <v>1</v>
      </c>
      <c r="D65" s="172" t="inlineStr">
        <is>
          <t>Gordonia (south of 28o latitude)</t>
        </is>
      </c>
      <c r="E65" s="191" t="n">
        <v>88.7</v>
      </c>
      <c r="F65" s="191" t="n">
        <v>178.2</v>
      </c>
      <c r="G65" s="192">
        <f>IF(COUNT(E65,F65)&lt;2,"",F65-E65)</f>
        <v/>
      </c>
      <c r="H65" s="172" t="inlineStr">
        <is>
          <t>Department of Mineral and Petroleum Resources, zone lists effective 2 April 2014 and 3 April 2024</t>
        </is>
      </c>
    </row>
    <row r="66">
      <c r="A66" s="170" t="inlineStr">
        <is>
          <t>17A</t>
        </is>
      </c>
      <c r="B66" s="172" t="inlineStr">
        <is>
          <t>Northern Cape</t>
        </is>
      </c>
      <c r="C66" s="190" t="n">
        <v>1</v>
      </c>
      <c r="D66" s="172" t="inlineStr">
        <is>
          <t>Gordonia Central (between 27o30' and 28o latituded)</t>
        </is>
      </c>
      <c r="E66" s="191" t="n">
        <v>99.8</v>
      </c>
      <c r="F66" s="191" t="n">
        <v>179.6</v>
      </c>
      <c r="G66" s="192">
        <f>IF(COUNT(E66,F66)&lt;2,"",F66-E66)</f>
        <v/>
      </c>
      <c r="H66" s="172" t="inlineStr">
        <is>
          <t>Department of Mineral and Petroleum Resources, zone lists effective 2 April 2014 and 3 April 2024</t>
        </is>
      </c>
    </row>
    <row r="67">
      <c r="A67" s="170" t="inlineStr">
        <is>
          <t>60C</t>
        </is>
      </c>
      <c r="B67" s="172" t="inlineStr">
        <is>
          <t>Not in the 2014 district list</t>
        </is>
      </c>
      <c r="C67" s="190" t="n"/>
      <c r="D67" s="172" t="inlineStr"/>
      <c r="E67" s="191" t="n">
        <v>44.3</v>
      </c>
      <c r="F67" s="191" t="n">
        <v>104</v>
      </c>
      <c r="G67" s="192">
        <f>IF(COUNT(E67,F67)&lt;2,"",F67-E67)</f>
        <v/>
      </c>
      <c r="H67" s="172" t="inlineStr">
        <is>
          <t>Department of Mineral and Petroleum Resources, zone lists effective 2 April 2014 and 3 April 2024</t>
        </is>
      </c>
    </row>
    <row r="68">
      <c r="A68" s="170" t="inlineStr">
        <is>
          <t>10A</t>
        </is>
      </c>
      <c r="B68" s="172" t="inlineStr">
        <is>
          <t>Not in the 2014 district list</t>
        </is>
      </c>
      <c r="C68" s="190" t="n"/>
      <c r="D68" s="172" t="inlineStr"/>
      <c r="E68" s="191" t="n">
        <v>82.59999999999999</v>
      </c>
      <c r="F68" s="191" t="n">
        <v>121.5</v>
      </c>
      <c r="G68" s="192">
        <f>IF(COUNT(E68,F68)&lt;2,"",F68-E68)</f>
        <v/>
      </c>
      <c r="H68" s="172"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93" t="n">
        <v>0.31</v>
      </c>
      <c r="E6" s="162" t="inlineStr">
        <is>
          <t>Reported Eskom burn over generation in three years. A proposal awaiting review.</t>
        </is>
      </c>
      <c r="F6" s="193" t="n"/>
      <c r="G6" s="193" t="n"/>
      <c r="H6" s="193" t="n"/>
      <c r="I6" s="193" t="n"/>
      <c r="J6" s="193" t="n"/>
      <c r="K6" s="193" t="n"/>
      <c r="L6" s="193" t="n"/>
      <c r="M6" s="193" t="n"/>
      <c r="N6" s="193" t="n"/>
      <c r="O6" s="193" t="n"/>
      <c r="P6" s="193" t="n"/>
      <c r="Q6" s="193" t="n"/>
      <c r="R6" s="193" t="n"/>
      <c r="S6" s="193"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194" t="n">
        <v>10</v>
      </c>
      <c r="E7" s="162" t="inlineStr">
        <is>
          <t>Diesel as the backup fuel of a station whose main fuel is gas. NO SOURCE: Eskom's tender says only that gas will be 'supplemented by diesel as and when it's required'.</t>
        </is>
      </c>
      <c r="F7" s="194" t="n"/>
      <c r="G7" s="194" t="n"/>
      <c r="H7" s="194" t="n"/>
      <c r="I7" s="194" t="n"/>
      <c r="J7" s="194" t="n"/>
      <c r="K7" s="194" t="n"/>
      <c r="L7" s="194" t="n"/>
      <c r="M7" s="194" t="n"/>
      <c r="N7" s="194" t="n"/>
      <c r="O7" s="194" t="n"/>
      <c r="P7" s="194" t="n"/>
      <c r="Q7" s="194" t="n"/>
      <c r="R7" s="194" t="n"/>
      <c r="S7" s="194"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194" t="n">
        <v>40</v>
      </c>
      <c r="E8" s="162" t="inlineStr">
        <is>
          <t>NO SOURCE. Eskom describes the gas it needs as dispatchable baseload, so well above a peaker.</t>
        </is>
      </c>
      <c r="F8" s="194" t="n"/>
      <c r="G8" s="194" t="n"/>
      <c r="H8" s="194" t="n"/>
      <c r="I8" s="194" t="n"/>
      <c r="J8" s="194" t="n"/>
      <c r="K8" s="194" t="n"/>
      <c r="L8" s="194" t="n"/>
      <c r="M8" s="194" t="n"/>
      <c r="N8" s="194" t="n"/>
      <c r="O8" s="194" t="n"/>
      <c r="P8" s="194" t="n"/>
      <c r="Q8" s="194" t="n"/>
      <c r="R8" s="194" t="n"/>
      <c r="S8" s="194"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Sells to Eskom under a 15-year power purchase agreement from commercial operation in July 2016 so the agreement ends in July 2031. Shown to its last full year; what follows is not established.</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Sells to Eskom under a 15-year power purchase agreement from commercial operation in October 2015 so the agreement ends in October 2030. Shown to its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95" t="n"/>
      <c r="E21" s="156" t="inlineStr">
        <is>
          <t>Generation divided by what all six stations would produce running all year.</t>
        </is>
      </c>
      <c r="F21" s="195">
        <f>IF(ISNUMBER(F20),F20/((F15+F16+F17)*8.76)*100,"")</f>
        <v/>
      </c>
      <c r="G21" s="195">
        <f>IF(ISNUMBER(G20),G20/((G15+G16+G17)*8.76)*100,"")</f>
        <v/>
      </c>
      <c r="H21" s="195">
        <f>IF(ISNUMBER(H20),H20/((H15+H16+H17)*8.76)*100,"")</f>
        <v/>
      </c>
      <c r="I21" s="195">
        <f>IF(ISNUMBER(I20),I20/((I15+I16+I17)*8.76)*100,"")</f>
        <v/>
      </c>
      <c r="J21" s="195">
        <f>IF(ISNUMBER(J20),J20/((J15+J16+J17)*8.76)*100,"")</f>
        <v/>
      </c>
      <c r="K21" s="195">
        <f>IF(ISNUMBER(K20),K20/((K15+K16+K17)*8.76)*100,"")</f>
        <v/>
      </c>
      <c r="L21" s="195">
        <f>IF(ISNUMBER(L20),L20/((L15+L16+L17)*8.76)*100,"")</f>
        <v/>
      </c>
      <c r="M21" s="195">
        <f>IF(ISNUMBER(M20),M20/((M15+M16+M17)*8.76)*100,"")</f>
        <v/>
      </c>
      <c r="N21" s="195">
        <f>IF(ISNUMBER(N20),N20/((N15+N16+N17)*8.76)*100,"")</f>
        <v/>
      </c>
      <c r="O21" s="195">
        <f>IF(ISNUMBER(O20),O20/((O15+O16+O17)*8.76)*100,"")</f>
        <v/>
      </c>
      <c r="P21" s="195">
        <f>IF(ISNUMBER(P20),P20/((P15+P16+P17)*8.76)*100,"")</f>
        <v/>
      </c>
      <c r="Q21" s="195">
        <f>IF(ISNUMBER(Q20),Q20/((Q15+Q16+Q17)*8.76)*100,"")</f>
        <v/>
      </c>
      <c r="R21" s="195">
        <f>IF(ISNUMBER(R20),R20/((R15+R16+R17)*8.76)*100,"")</f>
        <v/>
      </c>
      <c r="S21" s="195">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statement of 31 October 2022 (eskom.co.za)</t>
        </is>
      </c>
      <c r="V27" s="152" t="inlineStr"/>
    </row>
    <row r="28">
      <c r="A28" s="152" t="inlineStr">
        <is>
          <t>Camden</t>
        </is>
      </c>
      <c r="B28" s="153" t="inlineStr">
        <is>
          <t>MW</t>
        </is>
      </c>
      <c r="C28" s="153" t="inlineStr">
        <is>
          <t>Source observation</t>
        </is>
      </c>
      <c r="D28" s="166" t="n"/>
      <c r="E28"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TechCentral 22 April 2026. Decision status: Eskom media statements page and Sunday Times 3 September 2026</t>
        </is>
      </c>
      <c r="V28" s="152" t="inlineStr"/>
    </row>
    <row r="29">
      <c r="A29" s="152" t="inlineStr">
        <is>
          <t>Grootvlei</t>
        </is>
      </c>
      <c r="B29" s="153" t="inlineStr">
        <is>
          <t>MW</t>
        </is>
      </c>
      <c r="C29" s="153" t="inlineStr">
        <is>
          <t>Source observation</t>
        </is>
      </c>
      <c r="D29" s="166" t="n"/>
      <c r="E2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TechCentral 22 April 2026. Decision status: Eskom media statements page and Sunday Times 3 September 2026</t>
        </is>
      </c>
      <c r="V29" s="152" t="inlineStr"/>
    </row>
    <row r="30">
      <c r="A30" s="152" t="inlineStr">
        <is>
          <t>Hendrina</t>
        </is>
      </c>
      <c r="B30" s="153" t="inlineStr">
        <is>
          <t>MW</t>
        </is>
      </c>
      <c r="C30" s="153" t="inlineStr">
        <is>
          <t>Source observation</t>
        </is>
      </c>
      <c r="D30" s="166" t="n"/>
      <c r="E30"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TechCentral 22 April 2026. Decision status: Eskom media statements page and Sunday Times 3 September 2026</t>
        </is>
      </c>
      <c r="V30" s="152" t="inlineStr"/>
    </row>
    <row r="31">
      <c r="A31" s="152" t="inlineStr">
        <is>
          <t>Arnot</t>
        </is>
      </c>
      <c r="B31" s="153" t="inlineStr">
        <is>
          <t>MW</t>
        </is>
      </c>
      <c r="C31" s="153" t="inlineStr">
        <is>
          <t>Source observation</t>
        </is>
      </c>
      <c r="D31" s="166" t="n"/>
      <c r="E31"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TechCentral 22 April 2026. Decision status: Eskom media statements page and Sunday Times 3 September 2026</t>
        </is>
      </c>
      <c r="V31" s="152" t="inlineStr"/>
    </row>
    <row r="32">
      <c r="A32" s="152" t="inlineStr">
        <is>
          <t>Kriel</t>
        </is>
      </c>
      <c r="B32" s="153" t="inlineStr">
        <is>
          <t>MW</t>
        </is>
      </c>
      <c r="C32" s="153" t="inlineStr">
        <is>
          <t>Source observation</t>
        </is>
      </c>
      <c r="D32" s="166" t="n"/>
      <c r="E32"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TechCentral 22 April 2026. Decision status: Eskom media statements page and Sunday Times 3 September 2026</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Mail &amp; Guardian 31 March 2025 reporting the environment minister's decision</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Mail &amp; Guardian 31 March 2025 reporting the environment minister's decision</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196" t="n"/>
      <c r="E39" s="162" t="inlineStr">
        <is>
          <t>Each to the last full year of its agreement (Dedisa 2029, Avon 2030), then zero.</t>
        </is>
      </c>
      <c r="F39" s="196" t="n">
        <v>1005</v>
      </c>
      <c r="G39" s="196" t="n">
        <v>1005</v>
      </c>
      <c r="H39" s="196" t="n">
        <v>1005</v>
      </c>
      <c r="I39" s="196" t="n">
        <v>1005</v>
      </c>
      <c r="J39" s="196" t="n">
        <v>1005</v>
      </c>
      <c r="K39" s="196" t="n">
        <v>1005</v>
      </c>
      <c r="L39" s="196" t="n">
        <v>1005</v>
      </c>
      <c r="M39" s="196" t="n">
        <v>1005</v>
      </c>
      <c r="N39" s="196" t="n">
        <v>670</v>
      </c>
      <c r="O39" s="196" t="n">
        <v>0</v>
      </c>
      <c r="P39" s="196" t="n">
        <v>0</v>
      </c>
      <c r="Q39" s="196" t="n">
        <v>0</v>
      </c>
      <c r="R39" s="196" t="n">
        <v>0</v>
      </c>
      <c r="S39" s="196"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194" t="n"/>
      <c r="E40" s="162" t="inlineStr">
        <is>
          <t>100% until Eskom's stated gas switch in December 2027, then the backup share.</t>
        </is>
      </c>
      <c r="F40" s="194">
        <f>100</f>
        <v/>
      </c>
      <c r="G40" s="194">
        <f>100</f>
        <v/>
      </c>
      <c r="H40" s="194">
        <f>100</f>
        <v/>
      </c>
      <c r="I40" s="194">
        <f>100</f>
        <v/>
      </c>
      <c r="J40" s="194">
        <f>100</f>
        <v/>
      </c>
      <c r="K40" s="194">
        <f>100</f>
        <v/>
      </c>
      <c r="L40" s="194">
        <f>$D$7</f>
        <v/>
      </c>
      <c r="M40" s="194">
        <f>$D$7</f>
        <v/>
      </c>
      <c r="N40" s="194">
        <f>$D$7</f>
        <v/>
      </c>
      <c r="O40" s="194">
        <f>$D$7</f>
        <v/>
      </c>
      <c r="P40" s="194">
        <f>$D$7</f>
        <v/>
      </c>
      <c r="Q40" s="194">
        <f>$D$7</f>
        <v/>
      </c>
      <c r="R40" s="194">
        <f>$D$7</f>
        <v/>
      </c>
      <c r="S40" s="194">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196" t="n"/>
      <c r="E41" s="162" t="inlineStr">
        <is>
          <t>From 2030, when Camden, Grootvlei, Hendrina, Arnot and Kriel are due to stop. Which sites, and how large, is not decided; the national gas requirement is used as a stand-in.</t>
        </is>
      </c>
      <c r="F41" s="196" t="n">
        <v>0</v>
      </c>
      <c r="G41" s="196" t="n">
        <v>0</v>
      </c>
      <c r="H41" s="196" t="n">
        <v>0</v>
      </c>
      <c r="I41" s="196" t="n">
        <v>0</v>
      </c>
      <c r="J41" s="196" t="n">
        <v>0</v>
      </c>
      <c r="K41" s="196" t="n">
        <v>0</v>
      </c>
      <c r="L41" s="196" t="n">
        <v>0</v>
      </c>
      <c r="M41" s="196" t="n">
        <v>0</v>
      </c>
      <c r="N41" s="196" t="n">
        <v>0</v>
      </c>
      <c r="O41" s="196" t="n">
        <v>0</v>
      </c>
      <c r="P41" s="196" t="n">
        <v>0</v>
      </c>
      <c r="Q41" s="196" t="n">
        <v>0</v>
      </c>
      <c r="R41" s="196" t="n">
        <v>0</v>
      </c>
      <c r="S41" s="196"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196" t="n"/>
      <c r="E47" s="162" t="inlineStr">
        <is>
          <t>Both stations to 2035.</t>
        </is>
      </c>
      <c r="F47" s="196" t="n">
        <v>1005</v>
      </c>
      <c r="G47" s="196" t="n">
        <v>1005</v>
      </c>
      <c r="H47" s="196" t="n">
        <v>1005</v>
      </c>
      <c r="I47" s="196" t="n">
        <v>1005</v>
      </c>
      <c r="J47" s="196" t="n">
        <v>1005</v>
      </c>
      <c r="K47" s="196" t="n">
        <v>1005</v>
      </c>
      <c r="L47" s="196" t="n">
        <v>1005</v>
      </c>
      <c r="M47" s="196" t="n">
        <v>1005</v>
      </c>
      <c r="N47" s="196" t="n">
        <v>1005</v>
      </c>
      <c r="O47" s="196" t="n">
        <v>1005</v>
      </c>
      <c r="P47" s="196" t="n">
        <v>1005</v>
      </c>
      <c r="Q47" s="196" t="n">
        <v>1005</v>
      </c>
      <c r="R47" s="196" t="n">
        <v>1005</v>
      </c>
      <c r="S47" s="196"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194" t="n"/>
      <c r="E48" s="162" t="inlineStr">
        <is>
          <t>100% until Eskom's stated gas switch in December 2027, then the backup share.</t>
        </is>
      </c>
      <c r="F48" s="194">
        <f>100</f>
        <v/>
      </c>
      <c r="G48" s="194">
        <f>100</f>
        <v/>
      </c>
      <c r="H48" s="194">
        <f>100</f>
        <v/>
      </c>
      <c r="I48" s="194">
        <f>100</f>
        <v/>
      </c>
      <c r="J48" s="194">
        <f>100</f>
        <v/>
      </c>
      <c r="K48" s="194">
        <f>100</f>
        <v/>
      </c>
      <c r="L48" s="194">
        <f>$D$7</f>
        <v/>
      </c>
      <c r="M48" s="194">
        <f>$D$7</f>
        <v/>
      </c>
      <c r="N48" s="194">
        <f>$D$7</f>
        <v/>
      </c>
      <c r="O48" s="194">
        <f>$D$7</f>
        <v/>
      </c>
      <c r="P48" s="194">
        <f>$D$7</f>
        <v/>
      </c>
      <c r="Q48" s="194">
        <f>$D$7</f>
        <v/>
      </c>
      <c r="R48" s="194">
        <f>$D$7</f>
        <v/>
      </c>
      <c r="S48" s="194">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196" t="n"/>
      <c r="E49" s="162" t="inlineStr">
        <is>
          <t>From 2030, when Camden, Grootvlei, Hendrina, Arnot and Kriel are due to stop. Which sites, and how large, is not decided; the national gas requirement is used as a stand-in.</t>
        </is>
      </c>
      <c r="F49" s="196" t="n">
        <v>0</v>
      </c>
      <c r="G49" s="196" t="n">
        <v>0</v>
      </c>
      <c r="H49" s="196" t="n">
        <v>0</v>
      </c>
      <c r="I49" s="196" t="n">
        <v>0</v>
      </c>
      <c r="J49" s="196" t="n">
        <v>0</v>
      </c>
      <c r="K49" s="196" t="n">
        <v>0</v>
      </c>
      <c r="L49" s="196" t="n">
        <v>0</v>
      </c>
      <c r="M49" s="196" t="n">
        <v>0</v>
      </c>
      <c r="N49" s="196" t="n">
        <v>3000</v>
      </c>
      <c r="O49" s="196" t="n">
        <v>3000</v>
      </c>
      <c r="P49" s="196" t="n">
        <v>3000</v>
      </c>
      <c r="Q49" s="196" t="n">
        <v>3000</v>
      </c>
      <c r="R49" s="196" t="n">
        <v>3000</v>
      </c>
      <c r="S49" s="196"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196" t="n"/>
      <c r="E55" s="162" t="inlineStr">
        <is>
          <t>Both stations to 2035.</t>
        </is>
      </c>
      <c r="F55" s="196" t="n">
        <v>1005</v>
      </c>
      <c r="G55" s="196" t="n">
        <v>1005</v>
      </c>
      <c r="H55" s="196" t="n">
        <v>1005</v>
      </c>
      <c r="I55" s="196" t="n">
        <v>1005</v>
      </c>
      <c r="J55" s="196" t="n">
        <v>1005</v>
      </c>
      <c r="K55" s="196" t="n">
        <v>1005</v>
      </c>
      <c r="L55" s="196" t="n">
        <v>1005</v>
      </c>
      <c r="M55" s="196" t="n">
        <v>1005</v>
      </c>
      <c r="N55" s="196" t="n">
        <v>1005</v>
      </c>
      <c r="O55" s="196" t="n">
        <v>1005</v>
      </c>
      <c r="P55" s="196" t="n">
        <v>1005</v>
      </c>
      <c r="Q55" s="196" t="n">
        <v>1005</v>
      </c>
      <c r="R55" s="196" t="n">
        <v>1005</v>
      </c>
      <c r="S55" s="196"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194" t="n"/>
      <c r="E56" s="162" t="inlineStr">
        <is>
          <t>100% throughout: the gas supply does not arrive.</t>
        </is>
      </c>
      <c r="F56" s="194">
        <f>100</f>
        <v/>
      </c>
      <c r="G56" s="194">
        <f>100</f>
        <v/>
      </c>
      <c r="H56" s="194">
        <f>100</f>
        <v/>
      </c>
      <c r="I56" s="194">
        <f>100</f>
        <v/>
      </c>
      <c r="J56" s="194">
        <f>100</f>
        <v/>
      </c>
      <c r="K56" s="194">
        <f>100</f>
        <v/>
      </c>
      <c r="L56" s="194">
        <f>100</f>
        <v/>
      </c>
      <c r="M56" s="194">
        <f>100</f>
        <v/>
      </c>
      <c r="N56" s="194">
        <f>100</f>
        <v/>
      </c>
      <c r="O56" s="194">
        <f>100</f>
        <v/>
      </c>
      <c r="P56" s="194">
        <f>100</f>
        <v/>
      </c>
      <c r="Q56" s="194">
        <f>100</f>
        <v/>
      </c>
      <c r="R56" s="194">
        <f>100</f>
        <v/>
      </c>
      <c r="S56" s="194">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196" t="n"/>
      <c r="E57" s="162" t="inlineStr">
        <is>
          <t>From 2030, when Camden, Grootvlei, Hendrina, Arnot and Kriel are due to stop. Which sites, and how large, is not decided; the national gas requirement is used as a stand-in.</t>
        </is>
      </c>
      <c r="F57" s="196" t="n">
        <v>0</v>
      </c>
      <c r="G57" s="196" t="n">
        <v>0</v>
      </c>
      <c r="H57" s="196" t="n">
        <v>0</v>
      </c>
      <c r="I57" s="196" t="n">
        <v>0</v>
      </c>
      <c r="J57" s="196" t="n">
        <v>0</v>
      </c>
      <c r="K57" s="196" t="n">
        <v>0</v>
      </c>
      <c r="L57" s="196" t="n">
        <v>0</v>
      </c>
      <c r="M57" s="196" t="n">
        <v>0</v>
      </c>
      <c r="N57" s="196" t="n">
        <v>6000</v>
      </c>
      <c r="O57" s="196" t="n">
        <v>6000</v>
      </c>
      <c r="P57" s="196" t="n">
        <v>6000</v>
      </c>
      <c r="Q57" s="196" t="n">
        <v>6000</v>
      </c>
      <c r="R57" s="196" t="n">
        <v>6000</v>
      </c>
      <c r="S57" s="196"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The 15-year agreements end in October 2030 and July 2031.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95" t="n">
        <v>78</v>
      </c>
      <c r="E18" s="156" t="inlineStr">
        <is>
          <t>Observed share. Column D is the model's fixed split of new vehicles.</t>
        </is>
      </c>
      <c r="F18" s="195">
        <f>IF(COUNT(F14,F17)&lt;2,"",F14/F17*100)</f>
        <v/>
      </c>
      <c r="G18" s="195">
        <f>IF(COUNT(G14,G17)&lt;2,"",G14/G17*100)</f>
        <v/>
      </c>
      <c r="H18" s="195">
        <f>IF(COUNT(H14,H17)&lt;2,"",H14/H17*100)</f>
        <v/>
      </c>
      <c r="I18" s="195">
        <f>IF(COUNT(I14,I17)&lt;2,"",I14/I17*100)</f>
        <v/>
      </c>
      <c r="J18" s="195">
        <f>IF(COUNT(J14,J17)&lt;2,"",J14/J17*100)</f>
        <v/>
      </c>
      <c r="K18" s="195">
        <f>IF(COUNT(K14,K17)&lt;2,"",K14/K17*100)</f>
        <v/>
      </c>
      <c r="L18" s="195">
        <f>IF(COUNT(L14,L17)&lt;2,"",L14/L17*100)</f>
        <v/>
      </c>
      <c r="M18" s="195">
        <f>IF(COUNT(M14,M17)&lt;2,"",M14/M17*100)</f>
        <v/>
      </c>
      <c r="N18" s="195">
        <f>IF(COUNT(N14,N17)&lt;2,"",N14/N17*100)</f>
        <v/>
      </c>
      <c r="O18" s="195">
        <f>IF(COUNT(O14,O17)&lt;2,"",O14/O17*100)</f>
        <v/>
      </c>
      <c r="P18" s="195">
        <f>IF(COUNT(P14,P17)&lt;2,"",P14/P17*100)</f>
        <v/>
      </c>
      <c r="Q18" s="195">
        <f>IF(COUNT(Q14,Q17)&lt;2,"",Q14/Q17*100)</f>
        <v/>
      </c>
      <c r="R18" s="195">
        <f>IF(COUNT(R14,R17)&lt;2,"",R14/R17*100)</f>
        <v/>
      </c>
      <c r="S18" s="195">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95" t="n">
        <v>18</v>
      </c>
      <c r="E19" s="156" t="inlineStr">
        <is>
          <t>Observed share. Column D is the model's fixed split of new vehicles.</t>
        </is>
      </c>
      <c r="F19" s="195">
        <f>IF(COUNT(F15,F17)&lt;2,"",F15/F17*100)</f>
        <v/>
      </c>
      <c r="G19" s="195">
        <f>IF(COUNT(G15,G17)&lt;2,"",G15/G17*100)</f>
        <v/>
      </c>
      <c r="H19" s="195">
        <f>IF(COUNT(H15,H17)&lt;2,"",H15/H17*100)</f>
        <v/>
      </c>
      <c r="I19" s="195">
        <f>IF(COUNT(I15,I17)&lt;2,"",I15/I17*100)</f>
        <v/>
      </c>
      <c r="J19" s="195">
        <f>IF(COUNT(J15,J17)&lt;2,"",J15/J17*100)</f>
        <v/>
      </c>
      <c r="K19" s="195">
        <f>IF(COUNT(K15,K17)&lt;2,"",K15/K17*100)</f>
        <v/>
      </c>
      <c r="L19" s="195">
        <f>IF(COUNT(L15,L17)&lt;2,"",L15/L17*100)</f>
        <v/>
      </c>
      <c r="M19" s="195">
        <f>IF(COUNT(M15,M17)&lt;2,"",M15/M17*100)</f>
        <v/>
      </c>
      <c r="N19" s="195">
        <f>IF(COUNT(N15,N17)&lt;2,"",N15/N17*100)</f>
        <v/>
      </c>
      <c r="O19" s="195">
        <f>IF(COUNT(O15,O17)&lt;2,"",O15/O17*100)</f>
        <v/>
      </c>
      <c r="P19" s="195">
        <f>IF(COUNT(P15,P17)&lt;2,"",P15/P17*100)</f>
        <v/>
      </c>
      <c r="Q19" s="195">
        <f>IF(COUNT(Q15,Q17)&lt;2,"",Q15/Q17*100)</f>
        <v/>
      </c>
      <c r="R19" s="195">
        <f>IF(COUNT(R15,R17)&lt;2,"",R15/R17*100)</f>
        <v/>
      </c>
      <c r="S19" s="195">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95" t="n">
        <v>4</v>
      </c>
      <c r="E20" s="156" t="inlineStr">
        <is>
          <t>Observed share. Column D is the model's fixed split of new vehicles.</t>
        </is>
      </c>
      <c r="F20" s="195">
        <f>IF(COUNT(F16,F17)&lt;2,"",F16/F17*100)</f>
        <v/>
      </c>
      <c r="G20" s="195">
        <f>IF(COUNT(G16,G17)&lt;2,"",G16/G17*100)</f>
        <v/>
      </c>
      <c r="H20" s="195">
        <f>IF(COUNT(H16,H17)&lt;2,"",H16/H17*100)</f>
        <v/>
      </c>
      <c r="I20" s="195">
        <f>IF(COUNT(I16,I17)&lt;2,"",I16/I17*100)</f>
        <v/>
      </c>
      <c r="J20" s="195">
        <f>IF(COUNT(J16,J17)&lt;2,"",J16/J17*100)</f>
        <v/>
      </c>
      <c r="K20" s="195">
        <f>IF(COUNT(K16,K17)&lt;2,"",K16/K17*100)</f>
        <v/>
      </c>
      <c r="L20" s="195">
        <f>IF(COUNT(L16,L17)&lt;2,"",L16/L17*100)</f>
        <v/>
      </c>
      <c r="M20" s="195">
        <f>IF(COUNT(M16,M17)&lt;2,"",M16/M17*100)</f>
        <v/>
      </c>
      <c r="N20" s="195">
        <f>IF(COUNT(N16,N17)&lt;2,"",N16/N17*100)</f>
        <v/>
      </c>
      <c r="O20" s="195">
        <f>IF(COUNT(O16,O17)&lt;2,"",O16/O17*100)</f>
        <v/>
      </c>
      <c r="P20" s="195">
        <f>IF(COUNT(P16,P17)&lt;2,"",P16/P17*100)</f>
        <v/>
      </c>
      <c r="Q20" s="195">
        <f>IF(COUNT(Q16,Q17)&lt;2,"",Q16/Q17*100)</f>
        <v/>
      </c>
      <c r="R20" s="195">
        <f>IF(COUNT(R16,R17)&lt;2,"",R16/R17*100)</f>
        <v/>
      </c>
      <c r="S20" s="195">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195" t="n">
        <v>4</v>
      </c>
      <c r="E24" s="156" t="inlineStr">
        <is>
          <t>Retired divided by last December's stock. Column D is the model's scrappage rate.</t>
        </is>
      </c>
      <c r="F24" s="195" t="n"/>
      <c r="G24" s="195">
        <f>IF(ISNUMBER(G23),G23/F6*100,"")</f>
        <v/>
      </c>
      <c r="H24" s="195">
        <f>IF(ISNUMBER(H23),H23/G6*100,"")</f>
        <v/>
      </c>
      <c r="I24" s="195">
        <f>IF(ISNUMBER(I23),I23/H6*100,"")</f>
        <v/>
      </c>
      <c r="J24" s="195">
        <f>IF(ISNUMBER(J23),J23/I6*100,"")</f>
        <v/>
      </c>
      <c r="K24" s="195">
        <f>IF(ISNUMBER(K23),K23/J6*100,"")</f>
        <v/>
      </c>
      <c r="L24" s="195">
        <f>IF(ISNUMBER(L23),L23/K6*100,"")</f>
        <v/>
      </c>
      <c r="M24" s="195">
        <f>IF(ISNUMBER(M23),M23/L6*100,"")</f>
        <v/>
      </c>
      <c r="N24" s="195">
        <f>IF(ISNUMBER(N23),N23/M6*100,"")</f>
        <v/>
      </c>
      <c r="O24" s="195">
        <f>IF(ISNUMBER(O23),O23/N6*100,"")</f>
        <v/>
      </c>
      <c r="P24" s="195">
        <f>IF(ISNUMBER(P23),P23/O6*100,"")</f>
        <v/>
      </c>
      <c r="Q24" s="195">
        <f>IF(ISNUMBER(Q23),Q23/P6*100,"")</f>
        <v/>
      </c>
      <c r="R24" s="195">
        <f>IF(ISNUMBER(R23),R23/Q6*100,"")</f>
        <v/>
      </c>
      <c r="S24" s="195">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195" t="n">
        <v>5</v>
      </c>
      <c r="E26" s="156" t="inlineStr">
        <is>
          <t>Retired divided by last December's stock. Column D is the model's scrappage rate.</t>
        </is>
      </c>
      <c r="F26" s="195" t="n"/>
      <c r="G26" s="195">
        <f>IF(ISNUMBER(G25),G25/F7*100,"")</f>
        <v/>
      </c>
      <c r="H26" s="195">
        <f>IF(ISNUMBER(H25),H25/G7*100,"")</f>
        <v/>
      </c>
      <c r="I26" s="195">
        <f>IF(ISNUMBER(I25),I25/H7*100,"")</f>
        <v/>
      </c>
      <c r="J26" s="195">
        <f>IF(ISNUMBER(J25),J25/I7*100,"")</f>
        <v/>
      </c>
      <c r="K26" s="195">
        <f>IF(ISNUMBER(K25),K25/J7*100,"")</f>
        <v/>
      </c>
      <c r="L26" s="195">
        <f>IF(ISNUMBER(L25),L25/K7*100,"")</f>
        <v/>
      </c>
      <c r="M26" s="195">
        <f>IF(ISNUMBER(M25),M25/L7*100,"")</f>
        <v/>
      </c>
      <c r="N26" s="195">
        <f>IF(ISNUMBER(N25),N25/M7*100,"")</f>
        <v/>
      </c>
      <c r="O26" s="195">
        <f>IF(ISNUMBER(O25),O25/N7*100,"")</f>
        <v/>
      </c>
      <c r="P26" s="195">
        <f>IF(ISNUMBER(P25),P25/O7*100,"")</f>
        <v/>
      </c>
      <c r="Q26" s="195">
        <f>IF(ISNUMBER(Q25),Q25/P7*100,"")</f>
        <v/>
      </c>
      <c r="R26" s="195">
        <f>IF(ISNUMBER(R25),R25/Q7*100,"")</f>
        <v/>
      </c>
      <c r="S26" s="195">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195" t="n">
        <v>6</v>
      </c>
      <c r="E28" s="156" t="inlineStr">
        <is>
          <t>Retired divided by last December's stock. Column D is the model's scrappage rate.</t>
        </is>
      </c>
      <c r="F28" s="195" t="n"/>
      <c r="G28" s="195">
        <f>IF(ISNUMBER(G27),G27/F8*100,"")</f>
        <v/>
      </c>
      <c r="H28" s="195">
        <f>IF(ISNUMBER(H27),H27/G8*100,"")</f>
        <v/>
      </c>
      <c r="I28" s="195">
        <f>IF(ISNUMBER(I27),I27/H8*100,"")</f>
        <v/>
      </c>
      <c r="J28" s="195">
        <f>IF(ISNUMBER(J27),J27/I8*100,"")</f>
        <v/>
      </c>
      <c r="K28" s="195">
        <f>IF(ISNUMBER(K27),K27/J8*100,"")</f>
        <v/>
      </c>
      <c r="L28" s="195">
        <f>IF(ISNUMBER(L27),L27/K8*100,"")</f>
        <v/>
      </c>
      <c r="M28" s="195">
        <f>IF(ISNUMBER(M27),M27/L8*100,"")</f>
        <v/>
      </c>
      <c r="N28" s="195">
        <f>IF(ISNUMBER(N27),N27/M8*100,"")</f>
        <v/>
      </c>
      <c r="O28" s="195">
        <f>IF(ISNUMBER(O27),O27/N8*100,"")</f>
        <v/>
      </c>
      <c r="P28" s="195">
        <f>IF(ISNUMBER(P27),P27/O8*100,"")</f>
        <v/>
      </c>
      <c r="Q28" s="195">
        <f>IF(ISNUMBER(Q27),Q27/P8*100,"")</f>
        <v/>
      </c>
      <c r="R28" s="195">
        <f>IF(ISNUMBER(R27),R27/Q8*100,"")</f>
        <v/>
      </c>
      <c r="S28" s="195">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97" t="inlineStr">
        <is>
          <t>diesel</t>
        </is>
      </c>
      <c r="B5" s="197" t="inlineStr">
        <is>
          <t>road_activity</t>
        </is>
      </c>
      <c r="C5" s="197" t="inlineStr">
        <is>
          <t>index_2024_100</t>
        </is>
      </c>
      <c r="D5" s="197" t="inlineStr">
        <is>
          <t>100</t>
        </is>
      </c>
      <c r="E5" s="197" t="inlineStr">
        <is>
          <t>road freight payload 980 Mt in 2024 (Stats SA P7162)</t>
        </is>
      </c>
      <c r="F5" s="197" t="inlineStr">
        <is>
          <t>95 / 115 / 135</t>
        </is>
      </c>
      <c r="G5" s="197" t="inlineStr">
        <is>
          <t>95 / 115 / 135</t>
        </is>
      </c>
      <c r="H5" s="197" t="inlineStr">
        <is>
          <t>95 / 135 / 175</t>
        </is>
      </c>
      <c r="I5" s="197" t="inlineStr">
        <is>
          <t>95 / 135 / 150</t>
        </is>
      </c>
      <c r="J5" s="197" t="inlineStr">
        <is>
          <t>replacement proposed</t>
        </is>
      </c>
      <c r="K5" s="197"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97" t="inlineStr">
        <is>
          <t>diesel</t>
        </is>
      </c>
      <c r="B6" s="197" t="inlineStr">
        <is>
          <t>rail_diversion</t>
        </is>
      </c>
      <c r="C6" s="197" t="inlineStr">
        <is>
          <t>percent</t>
        </is>
      </c>
      <c r="D6" s="197" t="inlineStr">
        <is>
          <t>0</t>
        </is>
      </c>
      <c r="E6" s="197" t="inlineStr">
        <is>
          <t>rail 161 Mt and road 980 Mt in 2024 (Stats SA P7162)</t>
        </is>
      </c>
      <c r="F6" s="197" t="inlineStr">
        <is>
          <t>0 / 10 / 20</t>
        </is>
      </c>
      <c r="G6" s="197" t="inlineStr">
        <is>
          <t>0 / 3 / 9</t>
        </is>
      </c>
      <c r="H6" s="197" t="inlineStr">
        <is>
          <t>0 / 20 / 35</t>
        </is>
      </c>
      <c r="I6" s="197" t="inlineStr">
        <is>
          <t>0 / 7 / 13</t>
        </is>
      </c>
      <c r="J6" s="197" t="inlineStr">
        <is>
          <t>replacement proposed</t>
        </is>
      </c>
      <c r="K6" s="197"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97" t="inlineStr">
        <is>
          <t>diesel</t>
        </is>
      </c>
      <c r="B7" s="197" t="inlineStr">
        <is>
          <t>ocgt_generation</t>
        </is>
      </c>
      <c r="C7" s="197" t="inlineStr">
        <is>
          <t>index_FY2024_100</t>
        </is>
      </c>
      <c r="D7" s="197" t="inlineStr">
        <is>
          <t>100</t>
        </is>
      </c>
      <c r="E7" s="197" t="inlineStr">
        <is>
          <t>Eskom and independent OCGT output 5,143 GWh, year to March 2024</t>
        </is>
      </c>
      <c r="F7" s="197" t="inlineStr">
        <is>
          <t>10 / 25 / 60</t>
        </is>
      </c>
      <c r="G7" s="197" t="inlineStr">
        <is>
          <t>10 / 25 / 60</t>
        </is>
      </c>
      <c r="H7" s="197" t="inlineStr">
        <is>
          <t>5 / 15 / 50</t>
        </is>
      </c>
      <c r="I7" s="197" t="inlineStr">
        <is>
          <t>5 / 15 / 50</t>
        </is>
      </c>
      <c r="J7" s="197" t="inlineStr">
        <is>
          <t>no change</t>
        </is>
      </c>
      <c r="K7" s="197" t="inlineStr">
        <is>
          <t>Year to March 2025 is 55 and year to March 2026 is 21 on this index, so the medium of 25 in 2030 holds today's level. Reported burn is 0.31 litres per kWh in three years. No change proposed.</t>
        </is>
      </c>
    </row>
    <row r="8">
      <c r="A8" s="197" t="inlineStr">
        <is>
          <t>diesel</t>
        </is>
      </c>
      <c r="B8" s="197" t="inlineStr">
        <is>
          <t>new_cohort_efficiency</t>
        </is>
      </c>
      <c r="C8" s="197" t="inlineStr">
        <is>
          <t>percent_per_year</t>
        </is>
      </c>
      <c r="D8" s="197" t="inlineStr">
        <is>
          <t>0.5 to 1.0</t>
        </is>
      </c>
      <c r="E8" s="197" t="inlineStr">
        <is>
          <t>registered diesel efficiency paths (low and high demand cases)</t>
        </is>
      </c>
      <c r="F8" s="197" t="inlineStr">
        <is>
          <t>0.5 / 0.75 / 1</t>
        </is>
      </c>
      <c r="G8" s="197" t="inlineStr">
        <is>
          <t>0.5 / 0.75 / 1</t>
        </is>
      </c>
      <c r="H8" s="197" t="inlineStr">
        <is>
          <t>0.5 / 0.75 / 1</t>
        </is>
      </c>
      <c r="I8" s="197" t="inlineStr">
        <is>
          <t>0.5 / 0.75 / 1</t>
        </is>
      </c>
      <c r="J8" s="197" t="inlineStr">
        <is>
          <t>no change</t>
        </is>
      </c>
      <c r="K8" s="197" t="inlineStr">
        <is>
          <t>Low and high equal the registered endpoints. Neither has a source. No change proposed.</t>
        </is>
      </c>
    </row>
    <row r="9">
      <c r="A9" s="197" t="inlineStr">
        <is>
          <t>diesel</t>
        </is>
      </c>
      <c r="B9" s="197" t="inlineStr">
        <is>
          <t>plant_utilisation</t>
        </is>
      </c>
      <c r="C9" s="197" t="inlineStr">
        <is>
          <t>percent</t>
        </is>
      </c>
      <c r="D9" s="197" t="inlineStr">
        <is>
          <t>67</t>
        </is>
      </c>
      <c r="E9" s="197" t="inlineStr">
        <is>
          <t>reported 2024 output over reported capacity, three plants; indicative</t>
        </is>
      </c>
      <c r="F9" s="197" t="inlineStr">
        <is>
          <t>60 / 75 / 90</t>
        </is>
      </c>
      <c r="G9" s="197" t="inlineStr">
        <is>
          <t>60 / 75 / 90</t>
        </is>
      </c>
      <c r="H9" s="197" t="inlineStr">
        <is>
          <t>60 / 75 / 90</t>
        </is>
      </c>
      <c r="I9" s="197" t="inlineStr">
        <is>
          <t>60 / 75 / 90</t>
        </is>
      </c>
      <c r="J9" s="197" t="inlineStr">
        <is>
          <t>no change</t>
        </is>
      </c>
      <c r="K9" s="197"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97" t="inlineStr">
        <is>
          <t>diesel</t>
        </is>
      </c>
      <c r="B10" s="197" t="inlineStr">
        <is>
          <t>product_yield</t>
        </is>
      </c>
      <c r="C10" s="197" t="inlineStr">
        <is>
          <t>percent</t>
        </is>
      </c>
      <c r="D10" s="197" t="inlineStr">
        <is>
          <t>29</t>
        </is>
      </c>
      <c r="E10" s="197" t="inlineStr">
        <is>
          <t>diesel share of refinery output in 2024 (JODI; lowest reliability)</t>
        </is>
      </c>
      <c r="F10" s="197" t="inlineStr">
        <is>
          <t>20 / 25 / 30</t>
        </is>
      </c>
      <c r="G10" s="197" t="inlineStr">
        <is>
          <t>25 / 30 / 40</t>
        </is>
      </c>
      <c r="H10" s="197" t="inlineStr">
        <is>
          <t>20 / 25 / 30</t>
        </is>
      </c>
      <c r="I10" s="197" t="inlineStr">
        <is>
          <t>25 / 30 / 40</t>
        </is>
      </c>
      <c r="J10" s="197" t="inlineStr">
        <is>
          <t>replacement proposed</t>
        </is>
      </c>
      <c r="K10" s="197"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97" t="inlineStr">
        <is>
          <t>diesel</t>
        </is>
      </c>
      <c r="B11" s="197" t="inlineStr">
        <is>
          <t>restart_capacity</t>
        </is>
      </c>
      <c r="C11" s="197" t="inlineStr">
        <is>
          <t>thousand_bbl_per_day</t>
        </is>
      </c>
      <c r="D11" s="197" t="inlineStr">
        <is>
          <t>0</t>
        </is>
      </c>
      <c r="E11" s="197" t="inlineStr">
        <is>
          <t>no committed addition</t>
        </is>
      </c>
      <c r="F11" s="197" t="inlineStr">
        <is>
          <t>0 / 0 / 0</t>
        </is>
      </c>
      <c r="G11" s="197" t="inlineStr">
        <is>
          <t>0 / 0 / 0</t>
        </is>
      </c>
      <c r="H11" s="197" t="inlineStr">
        <is>
          <t>0 / 0 / 400</t>
        </is>
      </c>
      <c r="I11" s="197" t="inlineStr">
        <is>
          <t>0 / 0 / 400</t>
        </is>
      </c>
      <c r="J11" s="197" t="inlineStr">
        <is>
          <t>no change</t>
        </is>
      </c>
      <c r="K11" s="197" t="inlineStr">
        <is>
          <t>Existing conditional illustration; no investment decision, timing or product slate is sourced.</t>
        </is>
      </c>
    </row>
    <row r="12">
      <c r="A12" s="197" t="inlineStr">
        <is>
          <t>jet</t>
        </is>
      </c>
      <c r="B12" s="197" t="inlineStr">
        <is>
          <t>aircraft_movements</t>
        </is>
      </c>
      <c r="C12" s="197" t="inlineStr">
        <is>
          <t>index_2024_100</t>
        </is>
      </c>
      <c r="D12" s="197" t="inlineStr">
        <is>
          <t>100</t>
        </is>
      </c>
      <c r="E12" s="197" t="inlineStr">
        <is>
          <t>456,214 movements at ACSA airports in 2024</t>
        </is>
      </c>
      <c r="F12" s="197" t="inlineStr">
        <is>
          <t>100 / 120 / 140</t>
        </is>
      </c>
      <c r="G12" s="197" t="inlineStr">
        <is>
          <t>100 / 110 / 125</t>
        </is>
      </c>
      <c r="H12" s="197" t="inlineStr">
        <is>
          <t>100 / 145 / 190</t>
        </is>
      </c>
      <c r="I12" s="197" t="inlineStr">
        <is>
          <t>100 / 120 / 140</t>
        </is>
      </c>
      <c r="J12" s="197" t="inlineStr">
        <is>
          <t>replacement proposed</t>
        </is>
      </c>
      <c r="K12" s="197"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97" t="inlineStr">
        <is>
          <t>jet</t>
        </is>
      </c>
      <c r="B13" s="197" t="inlineStr">
        <is>
          <t>fuel_burn_per_movement</t>
        </is>
      </c>
      <c r="C13" s="197" t="inlineStr">
        <is>
          <t>index_2024_100</t>
        </is>
      </c>
      <c r="D13" s="197" t="inlineStr">
        <is>
          <t>100</t>
        </is>
      </c>
      <c r="E13" s="197" t="inlineStr">
        <is>
          <t>4,090 litres of jet sold per movement in 2024</t>
        </is>
      </c>
      <c r="F13" s="197" t="inlineStr">
        <is>
          <t>80 / 90 / 100</t>
        </is>
      </c>
      <c r="G13" s="197" t="inlineStr">
        <is>
          <t>80 / 90 / 113</t>
        </is>
      </c>
      <c r="H13" s="197" t="inlineStr">
        <is>
          <t>65 / 80 / 100</t>
        </is>
      </c>
      <c r="I13" s="197" t="inlineStr">
        <is>
          <t>65 / 80 / 113</t>
        </is>
      </c>
      <c r="J13" s="197" t="inlineStr">
        <is>
          <t>replacement proposed</t>
        </is>
      </c>
      <c r="K13" s="197"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97" t="inlineStr">
        <is>
          <t>jet</t>
        </is>
      </c>
      <c r="B14" s="197" t="inlineStr">
        <is>
          <t>saf_volume_share</t>
        </is>
      </c>
      <c r="C14" s="197" t="inlineStr">
        <is>
          <t>percent</t>
        </is>
      </c>
      <c r="D14" s="197" t="inlineStr">
        <is>
          <t>0</t>
        </is>
      </c>
      <c r="E14" s="197" t="inlineStr">
        <is>
          <t>no sustainable aviation fuel supply recorded in the sources held; unsourced</t>
        </is>
      </c>
      <c r="F14" s="197" t="inlineStr">
        <is>
          <t>0 / 2 / 5</t>
        </is>
      </c>
      <c r="G14" s="197" t="inlineStr">
        <is>
          <t>0 / 2 / 5</t>
        </is>
      </c>
      <c r="H14" s="197" t="inlineStr">
        <is>
          <t>0 / 5 / 10</t>
        </is>
      </c>
      <c r="I14" s="197" t="inlineStr">
        <is>
          <t>0 / 5 / 10</t>
        </is>
      </c>
      <c r="J14" s="197" t="inlineStr">
        <is>
          <t>no change</t>
        </is>
      </c>
      <c r="K14" s="197" t="inlineStr">
        <is>
          <t>No South African blend requirement is sourced. No change proposed.</t>
        </is>
      </c>
    </row>
    <row r="15">
      <c r="A15" s="197" t="inlineStr">
        <is>
          <t>jet</t>
        </is>
      </c>
      <c r="B15" s="197" t="inlineStr">
        <is>
          <t>plant_utilisation</t>
        </is>
      </c>
      <c r="C15" s="197" t="inlineStr">
        <is>
          <t>percent</t>
        </is>
      </c>
      <c r="D15" s="197" t="inlineStr">
        <is>
          <t>67</t>
        </is>
      </c>
      <c r="E15" s="197" t="inlineStr">
        <is>
          <t>reported 2024 output over reported capacity, three plants; indicative</t>
        </is>
      </c>
      <c r="F15" s="197" t="inlineStr">
        <is>
          <t>60 / 75 / 90</t>
        </is>
      </c>
      <c r="G15" s="197" t="inlineStr">
        <is>
          <t>60 / 75 / 90</t>
        </is>
      </c>
      <c r="H15" s="197" t="inlineStr">
        <is>
          <t>60 / 75 / 90</t>
        </is>
      </c>
      <c r="I15" s="197" t="inlineStr">
        <is>
          <t>60 / 75 / 90</t>
        </is>
      </c>
      <c r="J15" s="197" t="inlineStr">
        <is>
          <t>no change</t>
        </is>
      </c>
      <c r="K15" s="197"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97" t="inlineStr">
        <is>
          <t>jet</t>
        </is>
      </c>
      <c r="B16" s="197" t="inlineStr">
        <is>
          <t>product_yield</t>
        </is>
      </c>
      <c r="C16" s="197" t="inlineStr">
        <is>
          <t>percent</t>
        </is>
      </c>
      <c r="D16" s="197" t="inlineStr">
        <is>
          <t>10</t>
        </is>
      </c>
      <c r="E16" s="197" t="inlineStr">
        <is>
          <t>registered legacy yield for capable plants</t>
        </is>
      </c>
      <c r="F16" s="197" t="inlineStr">
        <is>
          <t>5 / 10 / 15</t>
        </is>
      </c>
      <c r="G16" s="197" t="inlineStr">
        <is>
          <t>5 / 10 / 15</t>
        </is>
      </c>
      <c r="H16" s="197" t="inlineStr">
        <is>
          <t>5 / 10 / 15</t>
        </is>
      </c>
      <c r="I16" s="197" t="inlineStr">
        <is>
          <t>5 / 10 / 15</t>
        </is>
      </c>
      <c r="J16" s="197" t="inlineStr">
        <is>
          <t>no change</t>
        </is>
      </c>
      <c r="K16" s="197" t="inlineStr">
        <is>
          <t>Jet was 5 to 8% of the five fuels produced in the 2017-2021 energy balances, consistent with the range. No change proposed.</t>
        </is>
      </c>
    </row>
    <row r="17">
      <c r="A17" s="197" t="inlineStr">
        <is>
          <t>jet</t>
        </is>
      </c>
      <c r="B17" s="197" t="inlineStr">
        <is>
          <t>restart_capacity</t>
        </is>
      </c>
      <c r="C17" s="197" t="inlineStr">
        <is>
          <t>thousand_bbl_per_day</t>
        </is>
      </c>
      <c r="D17" s="197" t="inlineStr">
        <is>
          <t>0</t>
        </is>
      </c>
      <c r="E17" s="197" t="inlineStr">
        <is>
          <t>no committed addition</t>
        </is>
      </c>
      <c r="F17" s="197" t="inlineStr">
        <is>
          <t>0 / 0 / 0</t>
        </is>
      </c>
      <c r="G17" s="197" t="inlineStr">
        <is>
          <t>0 / 0 / 0</t>
        </is>
      </c>
      <c r="H17" s="197" t="inlineStr">
        <is>
          <t>0 / 0 / 400</t>
        </is>
      </c>
      <c r="I17" s="197" t="inlineStr">
        <is>
          <t>0 / 0 / 400</t>
        </is>
      </c>
      <c r="J17" s="197" t="inlineStr">
        <is>
          <t>no change</t>
        </is>
      </c>
      <c r="K17" s="197" t="inlineStr">
        <is>
          <t>Existing conditional illustration; no investment decision, timing or product slate is sourced.</t>
        </is>
      </c>
    </row>
    <row r="18">
      <c r="A18" s="197" t="inlineStr">
        <is>
          <t>petrol</t>
        </is>
      </c>
      <c r="B18" s="197" t="inlineStr">
        <is>
          <t>passenger_mileage</t>
        </is>
      </c>
      <c r="C18" s="197" t="inlineStr">
        <is>
          <t>km_per_vehicle_year</t>
        </is>
      </c>
      <c r="D18" s="197" t="inlineStr">
        <is>
          <t>17000</t>
        </is>
      </c>
      <c r="E18" s="197" t="inlineStr">
        <is>
          <t>registered placeholder; not an observation</t>
        </is>
      </c>
      <c r="F18" s="197" t="inlineStr">
        <is>
          <t>13600 / 17000 / 20400</t>
        </is>
      </c>
      <c r="G18" s="197" t="inlineStr">
        <is>
          <t>12900 / 14500 / 17000</t>
        </is>
      </c>
      <c r="H18" s="197" t="inlineStr">
        <is>
          <t>13600 / 17000 / 20400</t>
        </is>
      </c>
      <c r="I18" s="197" t="inlineStr">
        <is>
          <t>12900 / 14500 / 17000</t>
        </is>
      </c>
      <c r="J18" s="197" t="inlineStr">
        <is>
          <t>replacement proposed</t>
        </is>
      </c>
      <c r="K18" s="197"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97" t="inlineStr">
        <is>
          <t>petrol</t>
        </is>
      </c>
      <c r="B19" s="197" t="inlineStr">
        <is>
          <t>gdp_growth</t>
        </is>
      </c>
      <c r="C19" s="197" t="inlineStr">
        <is>
          <t>percent_per_year</t>
        </is>
      </c>
      <c r="D19" s="197" t="inlineStr">
        <is>
          <t>0.5</t>
        </is>
      </c>
      <c r="E19" s="197" t="inlineStr">
        <is>
          <t>real GDP growth in 2024 (Stats SA P0441)</t>
        </is>
      </c>
      <c r="F19" s="197" t="inlineStr">
        <is>
          <t>1 / 2 / 3</t>
        </is>
      </c>
      <c r="G19" s="197" t="inlineStr">
        <is>
          <t>0.7 / 1.6 / 2</t>
        </is>
      </c>
      <c r="H19" s="197" t="inlineStr">
        <is>
          <t>1 / 2 / 3</t>
        </is>
      </c>
      <c r="I19" s="197" t="inlineStr">
        <is>
          <t>0.7 / 1.6 / 2</t>
        </is>
      </c>
      <c r="J19" s="197" t="inlineStr">
        <is>
          <t>replacement proposed</t>
        </is>
      </c>
      <c r="K19" s="197"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97" t="inlineStr">
        <is>
          <t>petrol</t>
        </is>
      </c>
      <c r="B20" s="197" t="inlineStr">
        <is>
          <t>bev_new_sales_share</t>
        </is>
      </c>
      <c r="C20" s="197" t="inlineStr">
        <is>
          <t>percent</t>
        </is>
      </c>
      <c r="D20" s="197" t="inlineStr">
        <is>
          <t>0.2</t>
        </is>
      </c>
      <c r="E20" s="197" t="inlineStr">
        <is>
          <t>1,088 battery electric vehicles sold in 2025, share of all new vehicles (naamsa)</t>
        </is>
      </c>
      <c r="F20" s="197" t="inlineStr">
        <is>
          <t>5 / 15 / 30</t>
        </is>
      </c>
      <c r="G20" s="197" t="inlineStr">
        <is>
          <t>0.5 / 4 / 20</t>
        </is>
      </c>
      <c r="H20" s="197" t="inlineStr">
        <is>
          <t>15 / 35 / 60</t>
        </is>
      </c>
      <c r="I20" s="197" t="inlineStr">
        <is>
          <t>2 / 15 / 40</t>
        </is>
      </c>
      <c r="J20" s="197" t="inlineStr">
        <is>
          <t>replacement proposed</t>
        </is>
      </c>
      <c r="K20" s="197"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97" t="inlineStr">
        <is>
          <t>petrol</t>
        </is>
      </c>
      <c r="B21" s="197" t="inlineStr">
        <is>
          <t>new_cohort_efficiency</t>
        </is>
      </c>
      <c r="C21" s="197" t="inlineStr">
        <is>
          <t>percent_per_year</t>
        </is>
      </c>
      <c r="D21" s="197" t="inlineStr">
        <is>
          <t>1.0 to 1.5</t>
        </is>
      </c>
      <c r="E21" s="197" t="inlineStr">
        <is>
          <t>registered petrol efficiency paths (low and high demand cases)</t>
        </is>
      </c>
      <c r="F21" s="197" t="inlineStr">
        <is>
          <t>1 / 1.25 / 1.5</t>
        </is>
      </c>
      <c r="G21" s="197" t="inlineStr">
        <is>
          <t>1 / 1.25 / 1.5</t>
        </is>
      </c>
      <c r="H21" s="197" t="inlineStr">
        <is>
          <t>1 / 1.25 / 1.5</t>
        </is>
      </c>
      <c r="I21" s="197" t="inlineStr">
        <is>
          <t>1 / 1.25 / 1.5</t>
        </is>
      </c>
      <c r="J21" s="197" t="inlineStr">
        <is>
          <t>no change</t>
        </is>
      </c>
      <c r="K21" s="197" t="inlineStr">
        <is>
          <t>Low and high equal the registered endpoints. Neither has a source. No change proposed.</t>
        </is>
      </c>
    </row>
    <row r="22">
      <c r="A22" s="197" t="inlineStr">
        <is>
          <t>petrol</t>
        </is>
      </c>
      <c r="B22" s="197" t="inlineStr">
        <is>
          <t>plant_utilisation</t>
        </is>
      </c>
      <c r="C22" s="197" t="inlineStr">
        <is>
          <t>percent</t>
        </is>
      </c>
      <c r="D22" s="197" t="inlineStr">
        <is>
          <t>67</t>
        </is>
      </c>
      <c r="E22" s="197" t="inlineStr">
        <is>
          <t>reported 2024 output over reported capacity, three plants; indicative</t>
        </is>
      </c>
      <c r="F22" s="197" t="inlineStr">
        <is>
          <t>60 / 75 / 90</t>
        </is>
      </c>
      <c r="G22" s="197" t="inlineStr">
        <is>
          <t>60 / 75 / 90</t>
        </is>
      </c>
      <c r="H22" s="197" t="inlineStr">
        <is>
          <t>60 / 75 / 90</t>
        </is>
      </c>
      <c r="I22" s="197" t="inlineStr">
        <is>
          <t>60 / 75 / 90</t>
        </is>
      </c>
      <c r="J22" s="197" t="inlineStr">
        <is>
          <t>no change</t>
        </is>
      </c>
      <c r="K22" s="197"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97" t="inlineStr">
        <is>
          <t>petrol</t>
        </is>
      </c>
      <c r="B23" s="197" t="inlineStr">
        <is>
          <t>product_yield</t>
        </is>
      </c>
      <c r="C23" s="197" t="inlineStr">
        <is>
          <t>percent</t>
        </is>
      </c>
      <c r="D23" s="197" t="inlineStr">
        <is>
          <t>54</t>
        </is>
      </c>
      <c r="E23" s="197" t="inlineStr">
        <is>
          <t>petrol share of refinery output in 2024 (JODI; lowest reliability)</t>
        </is>
      </c>
      <c r="F23" s="197" t="inlineStr">
        <is>
          <t>35 / 45 / 55</t>
        </is>
      </c>
      <c r="G23" s="197" t="inlineStr">
        <is>
          <t>45 / 50 / 55</t>
        </is>
      </c>
      <c r="H23" s="197" t="inlineStr">
        <is>
          <t>35 / 45 / 55</t>
        </is>
      </c>
      <c r="I23" s="197" t="inlineStr">
        <is>
          <t>45 / 50 / 55</t>
        </is>
      </c>
      <c r="J23" s="197" t="inlineStr">
        <is>
          <t>replacement proposed</t>
        </is>
      </c>
      <c r="K23" s="197"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97" t="inlineStr">
        <is>
          <t>petrol</t>
        </is>
      </c>
      <c r="B24" s="197" t="inlineStr">
        <is>
          <t>restart_capacity</t>
        </is>
      </c>
      <c r="C24" s="197" t="inlineStr">
        <is>
          <t>thousand_bbl_per_day</t>
        </is>
      </c>
      <c r="D24" s="197" t="inlineStr">
        <is>
          <t>0</t>
        </is>
      </c>
      <c r="E24" s="197" t="inlineStr">
        <is>
          <t>no committed addition</t>
        </is>
      </c>
      <c r="F24" s="197" t="inlineStr">
        <is>
          <t>0 / 0 / 0</t>
        </is>
      </c>
      <c r="G24" s="197" t="inlineStr">
        <is>
          <t>0 / 0 / 0</t>
        </is>
      </c>
      <c r="H24" s="197" t="inlineStr">
        <is>
          <t>0 / 0 / 400</t>
        </is>
      </c>
      <c r="I24" s="197" t="inlineStr">
        <is>
          <t>0 / 0 / 400</t>
        </is>
      </c>
      <c r="J24" s="197" t="inlineStr">
        <is>
          <t>no change</t>
        </is>
      </c>
      <c r="K24" s="197" t="inlineStr">
        <is>
          <t>Existing conditional illustration; no investment decision, timing or product slate is sourced.</t>
        </is>
      </c>
    </row>
    <row r="25">
      <c r="A25" s="197" t="inlineStr">
        <is>
          <t>diesel</t>
        </is>
      </c>
      <c r="B25" s="197" t="inlineStr">
        <is>
          <t>real_fuel_price</t>
        </is>
      </c>
      <c r="C25" s="197" t="inlineStr">
        <is>
          <t>index_2024_100</t>
        </is>
      </c>
      <c r="D25" s="197" t="inlineStr">
        <is>
          <t>100</t>
        </is>
      </c>
      <c r="E25" s="197" t="inlineStr">
        <is>
          <t>regulated inland price deflated by headline CPI, 2024 average</t>
        </is>
      </c>
      <c r="F25" s="197" t="inlineStr">
        <is>
          <t>- / - / -</t>
        </is>
      </c>
      <c r="G25" s="197" t="inlineStr">
        <is>
          <t>80 / 100 / 140</t>
        </is>
      </c>
      <c r="H25" s="197" t="inlineStr">
        <is>
          <t>- / - / -</t>
        </is>
      </c>
      <c r="I25" s="197" t="inlineStr">
        <is>
          <t>80 / 100 / 140</t>
        </is>
      </c>
      <c r="J25" s="197" t="inlineStr">
        <is>
          <t>added lever</t>
        </is>
      </c>
      <c r="K25" s="197"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97" t="inlineStr">
        <is>
          <t>diesel</t>
        </is>
      </c>
      <c r="B26" s="197" t="inlineStr">
        <is>
          <t>private_backup_generation</t>
        </is>
      </c>
      <c r="C26" s="197" t="inlineStr">
        <is>
          <t>bn_litres_per_year</t>
        </is>
      </c>
      <c r="D26" s="197" t="inlineStr">
        <is>
          <t>not measured</t>
        </is>
      </c>
      <c r="E26" s="197" t="inlineStr">
        <is>
          <t>no measured volume exists</t>
        </is>
      </c>
      <c r="F26" s="197" t="inlineStr">
        <is>
          <t>- / - / -</t>
        </is>
      </c>
      <c r="G26" s="197" t="inlineStr">
        <is>
          <t>0 / 0 / 0.5</t>
        </is>
      </c>
      <c r="H26" s="197" t="inlineStr">
        <is>
          <t>- / - / -</t>
        </is>
      </c>
      <c r="I26" s="197" t="inlineStr">
        <is>
          <t>0 / 0 / 0.5</t>
        </is>
      </c>
      <c r="J26" s="197" t="inlineStr">
        <is>
          <t>added lever</t>
        </is>
      </c>
      <c r="K26" s="197"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97" t="inlineStr">
        <is>
          <t>diesel</t>
        </is>
      </c>
      <c r="B27" s="197" t="inlineStr">
        <is>
          <t>electric_share_of_new_truck_sales</t>
        </is>
      </c>
      <c r="C27" s="197" t="inlineStr">
        <is>
          <t>percent</t>
        </is>
      </c>
      <c r="D27" s="197" t="inlineStr">
        <is>
          <t>not reported</t>
        </is>
      </c>
      <c r="E27" s="197" t="inlineStr">
        <is>
          <t>naamsa reports electrified sales for the whole market only; assumed close to zero</t>
        </is>
      </c>
      <c r="F27" s="197" t="inlineStr">
        <is>
          <t>- / - / -</t>
        </is>
      </c>
      <c r="G27" s="197" t="inlineStr">
        <is>
          <t>0 / 0.4 / 3</t>
        </is>
      </c>
      <c r="H27" s="197" t="inlineStr">
        <is>
          <t>- / - / -</t>
        </is>
      </c>
      <c r="I27" s="197" t="inlineStr">
        <is>
          <t>0 / 3 / 9</t>
        </is>
      </c>
      <c r="J27" s="197" t="inlineStr">
        <is>
          <t>added lever</t>
        </is>
      </c>
      <c r="K27" s="197"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97" t="inlineStr">
        <is>
          <t>diesel</t>
        </is>
      </c>
      <c r="B28" s="197" t="inlineStr">
        <is>
          <t>electric_share_of_new_light_commercial_sales</t>
        </is>
      </c>
      <c r="C28" s="197" t="inlineStr">
        <is>
          <t>percent</t>
        </is>
      </c>
      <c r="D28" s="197" t="inlineStr">
        <is>
          <t>not reported</t>
        </is>
      </c>
      <c r="E28" s="197" t="inlineStr">
        <is>
          <t>naamsa reports electrified sales for the whole market only; assumed close to zero</t>
        </is>
      </c>
      <c r="F28" s="197" t="inlineStr">
        <is>
          <t>- / - / -</t>
        </is>
      </c>
      <c r="G28" s="197" t="inlineStr">
        <is>
          <t>0 / 1 / 5</t>
        </is>
      </c>
      <c r="H28" s="197" t="inlineStr">
        <is>
          <t>- / - / -</t>
        </is>
      </c>
      <c r="I28" s="197" t="inlineStr">
        <is>
          <t>0 / 5 / 10</t>
        </is>
      </c>
      <c r="J28" s="197" t="inlineStr">
        <is>
          <t>added lever</t>
        </is>
      </c>
      <c r="K28" s="197"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97" t="inlineStr">
        <is>
          <t>petrol</t>
        </is>
      </c>
      <c r="B29" s="197" t="inlineStr">
        <is>
          <t>real_fuel_price</t>
        </is>
      </c>
      <c r="C29" s="197" t="inlineStr">
        <is>
          <t>index_2024_100</t>
        </is>
      </c>
      <c r="D29" s="197" t="inlineStr">
        <is>
          <t>100</t>
        </is>
      </c>
      <c r="E29" s="197" t="inlineStr">
        <is>
          <t>regulated inland price deflated by headline CPI, 2024 average</t>
        </is>
      </c>
      <c r="F29" s="197" t="inlineStr">
        <is>
          <t>- / - / -</t>
        </is>
      </c>
      <c r="G29" s="197" t="inlineStr">
        <is>
          <t>80 / 100 / 120</t>
        </is>
      </c>
      <c r="H29" s="197" t="inlineStr">
        <is>
          <t>- / - / -</t>
        </is>
      </c>
      <c r="I29" s="197" t="inlineStr">
        <is>
          <t>80 / 100 / 120</t>
        </is>
      </c>
      <c r="J29" s="197" t="inlineStr">
        <is>
          <t>added lever</t>
        </is>
      </c>
      <c r="K29" s="197"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97" t="inlineStr">
        <is>
          <t>petrol</t>
        </is>
      </c>
      <c r="B30" s="197" t="inlineStr">
        <is>
          <t>plug_in_hybrid_new_sales_share</t>
        </is>
      </c>
      <c r="C30" s="197" t="inlineStr">
        <is>
          <t>percent</t>
        </is>
      </c>
      <c r="D30" s="197" t="inlineStr">
        <is>
          <t>0.5</t>
        </is>
      </c>
      <c r="E30" s="197" t="inlineStr">
        <is>
          <t>share of all new vehicles in 2025 (naamsa)</t>
        </is>
      </c>
      <c r="F30" s="197" t="inlineStr">
        <is>
          <t>- / - / -</t>
        </is>
      </c>
      <c r="G30" s="197" t="inlineStr">
        <is>
          <t>0.5 / 1.2 / 2.1</t>
        </is>
      </c>
      <c r="H30" s="197" t="inlineStr">
        <is>
          <t>- / - / -</t>
        </is>
      </c>
      <c r="I30" s="197" t="inlineStr">
        <is>
          <t>0.5 / 2 / 3.7</t>
        </is>
      </c>
      <c r="J30" s="197" t="inlineStr">
        <is>
          <t>added lever</t>
        </is>
      </c>
      <c r="K30" s="197"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97" t="inlineStr">
        <is>
          <t>petrol</t>
        </is>
      </c>
      <c r="B31" s="197" t="inlineStr">
        <is>
          <t>conventional_hybrid_new_sales_share</t>
        </is>
      </c>
      <c r="C31" s="197" t="inlineStr">
        <is>
          <t>percent</t>
        </is>
      </c>
      <c r="D31" s="197" t="inlineStr">
        <is>
          <t>2.1</t>
        </is>
      </c>
      <c r="E31" s="197" t="inlineStr">
        <is>
          <t>share of all new vehicles in 2025 (naamsa)</t>
        </is>
      </c>
      <c r="F31" s="197" t="inlineStr">
        <is>
          <t>- / - / -</t>
        </is>
      </c>
      <c r="G31" s="197" t="inlineStr">
        <is>
          <t>2.1 / 4.4 / 6.7</t>
        </is>
      </c>
      <c r="H31" s="197" t="inlineStr">
        <is>
          <t>- / - / -</t>
        </is>
      </c>
      <c r="I31" s="197" t="inlineStr">
        <is>
          <t>2.1 / 6.7 / 11.3</t>
        </is>
      </c>
      <c r="J31" s="197" t="inlineStr">
        <is>
          <t>added lever</t>
        </is>
      </c>
      <c r="K31" s="197"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97" t="inlineStr">
        <is>
          <t>petrol</t>
        </is>
      </c>
      <c r="B32" s="197" t="inlineStr">
        <is>
          <t>rail_passenger_journeys</t>
        </is>
      </c>
      <c r="C32" s="197" t="inlineStr">
        <is>
          <t>million_per_year</t>
        </is>
      </c>
      <c r="D32" s="197" t="inlineStr">
        <is>
          <t>74</t>
        </is>
      </c>
      <c r="E32" s="197" t="inlineStr">
        <is>
          <t>rail passenger journeys in 2024 (Stats SA P7162)</t>
        </is>
      </c>
      <c r="F32" s="197" t="inlineStr">
        <is>
          <t>- / - / -</t>
        </is>
      </c>
      <c r="G32" s="197" t="inlineStr">
        <is>
          <t>100 / 180 / 320</t>
        </is>
      </c>
      <c r="H32" s="197" t="inlineStr">
        <is>
          <t>- / - / -</t>
        </is>
      </c>
      <c r="I32" s="197" t="inlineStr">
        <is>
          <t>100 / 250 / 320</t>
        </is>
      </c>
      <c r="J32" s="197" t="inlineStr">
        <is>
          <t>added lever</t>
        </is>
      </c>
      <c r="K32" s="197"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97" t="inlineStr">
        <is>
          <t>throughput</t>
        </is>
      </c>
      <c r="B33" s="197" t="inlineStr">
        <is>
          <t>exports_to_neighbours</t>
        </is>
      </c>
      <c r="C33" s="197" t="inlineStr">
        <is>
          <t>bn_litres_per_year</t>
        </is>
      </c>
      <c r="D33" s="197" t="inlineStr">
        <is>
          <t>1.48</t>
        </is>
      </c>
      <c r="E33" s="197" t="inlineStr">
        <is>
          <t>petrol and diesel exported to nine neighbouring countries in 2024 (SARS customs)</t>
        </is>
      </c>
      <c r="F33" s="197" t="inlineStr">
        <is>
          <t>- / - / -</t>
        </is>
      </c>
      <c r="G33" s="197" t="inlineStr">
        <is>
          <t>0.7 / 1.4 / 1.7</t>
        </is>
      </c>
      <c r="H33" s="197" t="inlineStr">
        <is>
          <t>- / - / -</t>
        </is>
      </c>
      <c r="I33" s="197" t="inlineStr">
        <is>
          <t>0.7 / 1.4 / 1.7</t>
        </is>
      </c>
      <c r="J33" s="197" t="inlineStr">
        <is>
          <t>added lever</t>
        </is>
      </c>
      <c r="K33" s="197"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97" t="inlineStr">
        <is>
          <t>G01</t>
        </is>
      </c>
      <c r="B5" s="197" t="inlineStr">
        <is>
          <t>National fuel balance</t>
        </is>
      </c>
      <c r="C5" s="197" t="inlineStr">
        <is>
          <t>Narrowed</t>
        </is>
      </c>
      <c r="D5" s="197" t="inlineStr">
        <is>
          <t>Balance rebuilt on customs trade for 2014-2025; Road Accident Fund levy found as an independent count.</t>
        </is>
      </c>
      <c r="E5" s="197" t="inlineStr">
        <is>
          <t>No sales after 2023; no production after 2021 (the last energy balance); no stock series.</t>
        </is>
      </c>
      <c r="F5" s="197" t="inlineStr">
        <is>
          <t>History, sections 2-5</t>
        </is>
      </c>
    </row>
    <row r="6">
      <c r="A6" s="197" t="inlineStr">
        <is>
          <t>G02</t>
        </is>
      </c>
      <c r="B6" s="197" t="inlineStr">
        <is>
          <t>Fleet and new sales</t>
        </is>
      </c>
      <c r="C6" s="197" t="inlineStr">
        <is>
          <t>Narrowed</t>
        </is>
      </c>
      <c r="D6" s="197" t="inlineStr">
        <is>
          <t>Registered vehicles by class 2021-2025, new sales 2017-2025 and apparent retirements lined up against the model.</t>
        </is>
      </c>
      <c r="E6" s="197" t="inlineStr">
        <is>
          <t>Stock by age and by fuel within each class is in no source held.</t>
        </is>
      </c>
      <c r="F6" s="197" t="inlineStr">
        <is>
          <t>Vehicle history</t>
        </is>
      </c>
    </row>
    <row r="7">
      <c r="A7" s="197" t="inlineStr">
        <is>
          <t>G03</t>
        </is>
      </c>
      <c r="B7" s="197" t="inlineStr">
        <is>
          <t>Passenger electrification</t>
        </is>
      </c>
      <c r="C7" s="197" t="inlineStr">
        <is>
          <t>Narrowed</t>
        </is>
      </c>
      <c r="D7" s="197" t="inlineStr">
        <is>
          <t>Battery electric, plug-in and conventional hybrid sales and shares, 2019-2025.</t>
        </is>
      </c>
      <c r="E7" s="197" t="inlineStr">
        <is>
          <t>Passenger-only denominators; electric vehicles in the fleet after 2023; fuel saved by hybrids.</t>
        </is>
      </c>
      <c r="F7" s="197" t="inlineStr">
        <is>
          <t>Vehicle history, section 4</t>
        </is>
      </c>
    </row>
    <row r="8">
      <c r="A8" s="197" t="inlineStr">
        <is>
          <t>G04</t>
        </is>
      </c>
      <c r="B8" s="197" t="inlineStr">
        <is>
          <t>Road freight activity</t>
        </is>
      </c>
      <c r="C8" s="197" t="inlineStr">
        <is>
          <t>Narrowed</t>
        </is>
      </c>
      <c r="D8" s="197" t="inlineStr">
        <is>
          <t>Heavy vehicle diesel is estimated for every year and set against road freight tonnes, giving litres per tonne. Stats SA fuel purchases by road freight firms give a floor of about 2.9 bn litres (2019) and 3.2 bn (2023).</t>
        </is>
      </c>
      <c r="E8" s="197" t="inlineStr">
        <is>
          <t>An annual tonne-kilometre series (only 2013 is published); distance, payload and empty running; light commercial freight scope.</t>
        </is>
      </c>
      <c r="F8" s="197" t="inlineStr">
        <is>
          <t>Diesel by use, sections 3, 3b and 4</t>
        </is>
      </c>
    </row>
    <row r="9">
      <c r="A9" s="197" t="inlineStr">
        <is>
          <t>G05</t>
        </is>
      </c>
      <c r="B9" s="197" t="inlineStr">
        <is>
          <t>Freight electrification</t>
        </is>
      </c>
      <c r="C9" s="197" t="inlineStr">
        <is>
          <t>Proposed</t>
        </is>
      </c>
      <c r="D9" s="197"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97" t="inlineStr">
        <is>
          <t>South African sales of electric trucks by size; duty cycles that could switch first; charging at depots.</t>
        </is>
      </c>
      <c r="F9" s="197" t="inlineStr">
        <is>
          <t>HML response</t>
        </is>
      </c>
    </row>
    <row r="10">
      <c r="A10" s="197" t="inlineStr">
        <is>
          <t>G06</t>
        </is>
      </c>
      <c r="B10" s="197" t="inlineStr">
        <is>
          <t>Manufacturing</t>
        </is>
      </c>
      <c r="C10" s="197" t="inlineStr">
        <is>
          <t>Narrowed</t>
        </is>
      </c>
      <c r="D10" s="197" t="inlineStr">
        <is>
          <t>Manufacturing and other industry diesel by difference, 2016-2021 (0.16-0.23 bn litres), with litres per index point.</t>
        </is>
      </c>
      <c r="E10" s="197" t="inlineStr">
        <is>
          <t>Sub-sector detail; the balance has no manufacturing lines before 2016.</t>
        </is>
      </c>
      <c r="F10" s="197" t="inlineStr">
        <is>
          <t>Sector history</t>
        </is>
      </c>
    </row>
    <row r="11">
      <c r="A11" s="197" t="inlineStr">
        <is>
          <t>G07</t>
        </is>
      </c>
      <c r="B11" s="197" t="inlineStr">
        <is>
          <t>Mining and construction</t>
        </is>
      </c>
      <c r="C11" s="197" t="inlineStr">
        <is>
          <t>Narrowed</t>
        </is>
      </c>
      <c r="D11" s="197" t="inlineStr">
        <is>
          <t>Mining diesel 2012-2021 with litres per index point (11-17 million); indicative 2022-2025.</t>
        </is>
      </c>
      <c r="E11" s="197" t="inlineStr">
        <is>
          <t>Observed fuel after 2021; site and commodity split; on-road boundary.</t>
        </is>
      </c>
      <c r="F11" s="197" t="inlineStr">
        <is>
          <t>Sector history</t>
        </is>
      </c>
    </row>
    <row r="12">
      <c r="A12" s="197" t="inlineStr">
        <is>
          <t>G08</t>
        </is>
      </c>
      <c r="B12" s="197" t="inlineStr">
        <is>
          <t>Agriculture</t>
        </is>
      </c>
      <c r="C12" s="197" t="inlineStr">
        <is>
          <t>Narrowed</t>
        </is>
      </c>
      <c r="D12" s="197" t="inlineStr">
        <is>
          <t>Agriculture diesel 2012-2021 with litres per rand of value added; indicative 2022-2025. Rebated diesel across all rebate sectors is 1.46 bn litres (year to March 2025).</t>
        </is>
      </c>
      <c r="E12" s="197" t="inlineStr">
        <is>
          <t>A fuel baseline after 2021; crop and irrigation activity.</t>
        </is>
      </c>
      <c r="F12" s="197" t="inlineStr">
        <is>
          <t>Sector history</t>
        </is>
      </c>
    </row>
    <row r="13">
      <c r="A13" s="197" t="inlineStr">
        <is>
          <t>G09</t>
        </is>
      </c>
      <c r="B13" s="197" t="inlineStr">
        <is>
          <t>Generation</t>
        </is>
      </c>
      <c r="C13" s="197" t="inlineStr">
        <is>
          <t>Narrowed</t>
        </is>
      </c>
      <c r="D13" s="197" t="inlineStr">
        <is>
          <t>Generation to the year ending March 2026; 0.31 litres per kWh in three reported years. The model's 2024 figure (3.58 bn litres) is at least 2 bn above reported burn.</t>
        </is>
      </c>
      <c r="E13" s="197" t="inlineStr">
        <is>
          <t>Matched fuel burn by calendar year; private backup generation has no measured volume.</t>
        </is>
      </c>
      <c r="F13" s="197" t="inlineStr">
        <is>
          <t>Diesel by use, section 1</t>
        </is>
      </c>
    </row>
    <row r="14">
      <c r="A14" s="197" t="inlineStr">
        <is>
          <t>G10</t>
        </is>
      </c>
      <c r="B14" s="197" t="inlineStr">
        <is>
          <t>Aviation</t>
        </is>
      </c>
      <c r="C14" s="197" t="inlineStr">
        <is>
          <t>Narrowed</t>
        </is>
      </c>
      <c r="D14" s="197" t="inlineStr">
        <is>
          <t>Jet sales, trade, production and aircraft movements lined up; jet sold per movement computed.</t>
        </is>
      </c>
      <c r="E14" s="197" t="inlineStr">
        <is>
          <t>Cargo, aircraft and route mix; airports outside ACSA; jet by airport.</t>
        </is>
      </c>
      <c r="F14" s="197" t="inlineStr">
        <is>
          <t>History, section 7</t>
        </is>
      </c>
    </row>
    <row r="15">
      <c r="A15" s="197" t="inlineStr">
        <is>
          <t>G11</t>
        </is>
      </c>
      <c r="B15" s="197" t="inlineStr">
        <is>
          <t>Provincial demand</t>
        </is>
      </c>
      <c r="C15" s="197" t="inlineStr">
        <is>
          <t>Narrowed</t>
        </is>
      </c>
      <c r="D15" s="197" t="inlineStr">
        <is>
          <t>2013-2022 observed; 2023 estimated with the best of six methods back-tested; 2024 blank (no national total).</t>
        </is>
      </c>
      <c r="E15" s="197" t="inlineStr">
        <is>
          <t>District data after 2023 quarter 1, which the department has not published; 2025 national total.</t>
        </is>
      </c>
      <c r="F15" s="197" t="inlineStr">
        <is>
          <t>History, sections 1 and 6</t>
        </is>
      </c>
    </row>
    <row r="16">
      <c r="A16" s="197" t="inlineStr">
        <is>
          <t>G12</t>
        </is>
      </c>
      <c r="B16" s="197" t="inlineStr">
        <is>
          <t>Marine and other coverage</t>
        </is>
      </c>
      <c r="C16" s="197" t="inlineStr">
        <is>
          <t>Open</t>
        </is>
      </c>
      <c r="D16" s="197" t="inlineStr">
        <is>
          <t>Nothing new. The model's marine placeholder equals the 2007 balance figure.</t>
        </is>
      </c>
      <c r="E16" s="197" t="inlineStr">
        <is>
          <t>Everything listed.</t>
        </is>
      </c>
      <c r="F16" s="197" t="inlineStr"/>
    </row>
    <row r="17">
      <c r="A17" s="197" t="inlineStr">
        <is>
          <t>G13</t>
        </is>
      </c>
      <c r="B17" s="197" t="inlineStr">
        <is>
          <t>Ranges and annual forecast paths</t>
        </is>
      </c>
      <c r="C17" s="197" t="inlineStr">
        <is>
          <t>Proposed</t>
        </is>
      </c>
      <c r="D17" s="197" t="inlineStr">
        <is>
          <t>Baseline, rationale and source for all 20 levers; 39 of 120 values with a proposed replacement; nine levers added.</t>
        </is>
      </c>
      <c r="E17" s="197" t="inlineStr">
        <is>
          <t>Agreement on the reference case and annual paths.</t>
        </is>
      </c>
      <c r="F17" s="197" t="inlineStr">
        <is>
          <t>HML response</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85" t="inlineStr">
        <is>
          <t>Evidence row</t>
        </is>
      </c>
      <c r="B4" s="185" t="inlineStr">
        <is>
          <t>Series</t>
        </is>
      </c>
      <c r="C4" s="185" t="inlineStr">
        <is>
          <t>Year</t>
        </is>
      </c>
      <c r="D4" s="185" t="inlineStr">
        <is>
          <t>Workbook value</t>
        </is>
      </c>
      <c r="E4" s="185" t="inlineStr">
        <is>
          <t>Recomputed from inputs</t>
        </is>
      </c>
      <c r="F4" s="185" t="inlineStr">
        <is>
          <t>Result</t>
        </is>
      </c>
      <c r="G4" s="185" t="inlineStr">
        <is>
          <t>Input file</t>
        </is>
      </c>
    </row>
    <row r="5">
      <c r="A5" s="1" t="inlineStr">
        <is>
          <t>F5</t>
        </is>
      </c>
      <c r="B5" s="1" t="inlineStr">
        <is>
          <t>sales_petrol</t>
        </is>
      </c>
      <c r="C5" s="1" t="n">
        <v>2022</v>
      </c>
      <c r="D5" s="198" t="n">
        <v>9185</v>
      </c>
      <c r="E5" s="198" t="n">
        <v>9185</v>
      </c>
      <c r="F5" s="1" t="inlineStr">
        <is>
          <t>matches</t>
        </is>
      </c>
      <c r="G5" s="1" t="inlineStr">
        <is>
          <t>fuel_sales_fiasa.csv</t>
        </is>
      </c>
    </row>
    <row r="6">
      <c r="A6" s="1" t="inlineStr">
        <is>
          <t>G5</t>
        </is>
      </c>
      <c r="B6" s="1" t="inlineStr">
        <is>
          <t>sales_petrol</t>
        </is>
      </c>
      <c r="C6" s="1" t="n">
        <v>2023</v>
      </c>
      <c r="D6" s="198" t="n">
        <v>9037</v>
      </c>
      <c r="E6" s="198" t="n">
        <v>9037</v>
      </c>
      <c r="F6" s="1" t="inlineStr">
        <is>
          <t>matches</t>
        </is>
      </c>
      <c r="G6" s="1" t="inlineStr">
        <is>
          <t>fuel_sales_fiasa.csv</t>
        </is>
      </c>
    </row>
    <row r="7">
      <c r="A7" s="1" t="inlineStr">
        <is>
          <t>H5</t>
        </is>
      </c>
      <c r="B7" s="1" t="inlineStr">
        <is>
          <t>sales_petrol</t>
        </is>
      </c>
      <c r="C7" s="1" t="n">
        <v>2024</v>
      </c>
      <c r="D7" s="198" t="n">
        <v>9029</v>
      </c>
      <c r="E7" s="198" t="n">
        <v>9029</v>
      </c>
      <c r="F7" s="1" t="inlineStr">
        <is>
          <t>matches</t>
        </is>
      </c>
      <c r="G7" s="1" t="inlineStr">
        <is>
          <t>fuel_sales_fiasa.csv</t>
        </is>
      </c>
    </row>
    <row r="8">
      <c r="A8" s="1" t="inlineStr">
        <is>
          <t>F6</t>
        </is>
      </c>
      <c r="B8" s="1" t="inlineStr">
        <is>
          <t>dept_petrol</t>
        </is>
      </c>
      <c r="C8" s="1" t="n">
        <v>2022</v>
      </c>
      <c r="D8" s="198" t="n">
        <v>9184.869915572999</v>
      </c>
      <c r="E8" s="198" t="n">
        <v>9184.869915572999</v>
      </c>
      <c r="F8" s="1" t="inlineStr">
        <is>
          <t>matches</t>
        </is>
      </c>
      <c r="G8" s="1" t="inlineStr">
        <is>
          <t>fuel_sales_department.csv</t>
        </is>
      </c>
    </row>
    <row r="9">
      <c r="A9" s="1" t="inlineStr">
        <is>
          <t>G6</t>
        </is>
      </c>
      <c r="B9" s="1" t="inlineStr">
        <is>
          <t>dept_petrol</t>
        </is>
      </c>
      <c r="C9" s="1" t="n">
        <v>2023</v>
      </c>
      <c r="D9" s="198" t="n">
        <v>9036.950113492001</v>
      </c>
      <c r="E9" s="198" t="n">
        <v>9036.950113492001</v>
      </c>
      <c r="F9" s="1" t="inlineStr">
        <is>
          <t>matches</t>
        </is>
      </c>
      <c r="G9" s="1" t="inlineStr">
        <is>
          <t>fuel_sales_department.csv</t>
        </is>
      </c>
    </row>
    <row r="10">
      <c r="A10" s="1" t="inlineStr">
        <is>
          <t>F7</t>
        </is>
      </c>
      <c r="B10" s="1" t="inlineStr">
        <is>
          <t>sales_diesel</t>
        </is>
      </c>
      <c r="C10" s="1" t="n">
        <v>2022</v>
      </c>
      <c r="D10" s="198" t="n">
        <v>12717</v>
      </c>
      <c r="E10" s="198" t="n">
        <v>12717</v>
      </c>
      <c r="F10" s="1" t="inlineStr">
        <is>
          <t>matches</t>
        </is>
      </c>
      <c r="G10" s="1" t="inlineStr">
        <is>
          <t>fuel_sales_fiasa.csv</t>
        </is>
      </c>
    </row>
    <row r="11">
      <c r="A11" s="1" t="inlineStr">
        <is>
          <t>G7</t>
        </is>
      </c>
      <c r="B11" s="1" t="inlineStr">
        <is>
          <t>sales_diesel</t>
        </is>
      </c>
      <c r="C11" s="1" t="n">
        <v>2023</v>
      </c>
      <c r="D11" s="198" t="n">
        <v>12907</v>
      </c>
      <c r="E11" s="198" t="n">
        <v>12907</v>
      </c>
      <c r="F11" s="1" t="inlineStr">
        <is>
          <t>matches</t>
        </is>
      </c>
      <c r="G11" s="1" t="inlineStr">
        <is>
          <t>fuel_sales_fiasa.csv</t>
        </is>
      </c>
    </row>
    <row r="12">
      <c r="A12" s="1" t="inlineStr">
        <is>
          <t>H7</t>
        </is>
      </c>
      <c r="B12" s="1" t="inlineStr">
        <is>
          <t>sales_diesel</t>
        </is>
      </c>
      <c r="C12" s="1" t="n">
        <v>2024</v>
      </c>
      <c r="D12" s="198" t="n">
        <v>11734</v>
      </c>
      <c r="E12" s="198" t="n">
        <v>11734</v>
      </c>
      <c r="F12" s="1" t="inlineStr">
        <is>
          <t>matches</t>
        </is>
      </c>
      <c r="G12" s="1" t="inlineStr">
        <is>
          <t>fuel_sales_fiasa.csv</t>
        </is>
      </c>
    </row>
    <row r="13">
      <c r="A13" s="1" t="inlineStr">
        <is>
          <t>F8</t>
        </is>
      </c>
      <c r="B13" s="1" t="inlineStr">
        <is>
          <t>dept_diesel</t>
        </is>
      </c>
      <c r="C13" s="1" t="n">
        <v>2022</v>
      </c>
      <c r="D13" s="198" t="n">
        <v>12717.326319019</v>
      </c>
      <c r="E13" s="198" t="n">
        <v>12717.326319019</v>
      </c>
      <c r="F13" s="1" t="inlineStr">
        <is>
          <t>matches</t>
        </is>
      </c>
      <c r="G13" s="1" t="inlineStr">
        <is>
          <t>fuel_sales_department.csv</t>
        </is>
      </c>
    </row>
    <row r="14">
      <c r="A14" s="1" t="inlineStr">
        <is>
          <t>G8</t>
        </is>
      </c>
      <c r="B14" s="1" t="inlineStr">
        <is>
          <t>dept_diesel</t>
        </is>
      </c>
      <c r="C14" s="1" t="n">
        <v>2023</v>
      </c>
      <c r="D14" s="198" t="n">
        <v>12907.499965808</v>
      </c>
      <c r="E14" s="198" t="n">
        <v>12907.499965808</v>
      </c>
      <c r="F14" s="1" t="inlineStr">
        <is>
          <t>matches</t>
        </is>
      </c>
      <c r="G14" s="1" t="inlineStr">
        <is>
          <t>fuel_sales_department.csv</t>
        </is>
      </c>
    </row>
    <row r="15">
      <c r="A15" s="1" t="inlineStr">
        <is>
          <t>F9</t>
        </is>
      </c>
      <c r="B15" s="1" t="inlineStr">
        <is>
          <t>sales_jet</t>
        </is>
      </c>
      <c r="C15" s="1" t="n">
        <v>2022</v>
      </c>
      <c r="D15" s="198" t="n">
        <v>1478</v>
      </c>
      <c r="E15" s="198" t="n">
        <v>1478</v>
      </c>
      <c r="F15" s="1" t="inlineStr">
        <is>
          <t>matches</t>
        </is>
      </c>
      <c r="G15" s="1" t="inlineStr">
        <is>
          <t>fuel_sales_fiasa.csv</t>
        </is>
      </c>
    </row>
    <row r="16">
      <c r="A16" s="1" t="inlineStr">
        <is>
          <t>G9</t>
        </is>
      </c>
      <c r="B16" s="1" t="inlineStr">
        <is>
          <t>sales_jet</t>
        </is>
      </c>
      <c r="C16" s="1" t="n">
        <v>2023</v>
      </c>
      <c r="D16" s="198" t="n">
        <v>1844</v>
      </c>
      <c r="E16" s="198" t="n">
        <v>1844</v>
      </c>
      <c r="F16" s="1" t="inlineStr">
        <is>
          <t>matches</t>
        </is>
      </c>
      <c r="G16" s="1" t="inlineStr">
        <is>
          <t>fuel_sales_fiasa.csv</t>
        </is>
      </c>
    </row>
    <row r="17">
      <c r="A17" s="1" t="inlineStr">
        <is>
          <t>H9</t>
        </is>
      </c>
      <c r="B17" s="1" t="inlineStr">
        <is>
          <t>sales_jet</t>
        </is>
      </c>
      <c r="C17" s="1" t="n">
        <v>2024</v>
      </c>
      <c r="D17" s="198" t="n">
        <v>1955</v>
      </c>
      <c r="E17" s="198" t="n">
        <v>1955</v>
      </c>
      <c r="F17" s="1" t="inlineStr">
        <is>
          <t>matches</t>
        </is>
      </c>
      <c r="G17" s="1" t="inlineStr">
        <is>
          <t>fuel_sales_fiasa.csv</t>
        </is>
      </c>
    </row>
    <row r="18">
      <c r="A18" s="1" t="inlineStr">
        <is>
          <t>F10</t>
        </is>
      </c>
      <c r="B18" s="1" t="inlineStr">
        <is>
          <t>dept_jet</t>
        </is>
      </c>
      <c r="C18" s="1" t="n">
        <v>2022</v>
      </c>
      <c r="D18" s="198" t="n">
        <v>1478.149852603</v>
      </c>
      <c r="E18" s="198" t="n">
        <v>1478.149852603</v>
      </c>
      <c r="F18" s="1" t="inlineStr">
        <is>
          <t>matches</t>
        </is>
      </c>
      <c r="G18" s="1" t="inlineStr">
        <is>
          <t>fuel_sales_department.csv</t>
        </is>
      </c>
    </row>
    <row r="19">
      <c r="A19" s="1" t="inlineStr">
        <is>
          <t>G10</t>
        </is>
      </c>
      <c r="B19" s="1" t="inlineStr">
        <is>
          <t>dept_jet</t>
        </is>
      </c>
      <c r="C19" s="1" t="n">
        <v>2023</v>
      </c>
      <c r="D19" s="198" t="n">
        <v>1843.971762465</v>
      </c>
      <c r="E19" s="198" t="n">
        <v>1843.971762465</v>
      </c>
      <c r="F19" s="1" t="inlineStr">
        <is>
          <t>matches</t>
        </is>
      </c>
      <c r="G19" s="1" t="inlineStr">
        <is>
          <t>fuel_sales_department.csv</t>
        </is>
      </c>
    </row>
    <row r="20">
      <c r="A20" s="1" t="inlineStr">
        <is>
          <t>F11</t>
        </is>
      </c>
      <c r="B20" s="1" t="inlineStr">
        <is>
          <t>sales_fuel_oil</t>
        </is>
      </c>
      <c r="C20" s="1" t="n">
        <v>2022</v>
      </c>
      <c r="D20" s="198" t="n">
        <v>594</v>
      </c>
      <c r="E20" s="198" t="n">
        <v>594</v>
      </c>
      <c r="F20" s="1" t="inlineStr">
        <is>
          <t>matches</t>
        </is>
      </c>
      <c r="G20" s="1" t="inlineStr">
        <is>
          <t>fuel_sales_fiasa.csv</t>
        </is>
      </c>
    </row>
    <row r="21">
      <c r="A21" s="1" t="inlineStr">
        <is>
          <t>G11</t>
        </is>
      </c>
      <c r="B21" s="1" t="inlineStr">
        <is>
          <t>sales_fuel_oil</t>
        </is>
      </c>
      <c r="C21" s="1" t="n">
        <v>2023</v>
      </c>
      <c r="D21" s="198" t="n">
        <v>658</v>
      </c>
      <c r="E21" s="198" t="n">
        <v>658</v>
      </c>
      <c r="F21" s="1" t="inlineStr">
        <is>
          <t>matches</t>
        </is>
      </c>
      <c r="G21" s="1" t="inlineStr">
        <is>
          <t>fuel_sales_fiasa.csv</t>
        </is>
      </c>
    </row>
    <row r="22">
      <c r="A22" s="1" t="inlineStr">
        <is>
          <t>H11</t>
        </is>
      </c>
      <c r="B22" s="1" t="inlineStr">
        <is>
          <t>sales_fuel_oil</t>
        </is>
      </c>
      <c r="C22" s="1" t="n">
        <v>2024</v>
      </c>
      <c r="D22" s="198" t="n">
        <v>441</v>
      </c>
      <c r="E22" s="198" t="n">
        <v>441</v>
      </c>
      <c r="F22" s="1" t="inlineStr">
        <is>
          <t>matches</t>
        </is>
      </c>
      <c r="G22" s="1" t="inlineStr">
        <is>
          <t>fuel_sales_fiasa.csv</t>
        </is>
      </c>
    </row>
    <row r="23">
      <c r="A23" s="1" t="inlineStr">
        <is>
          <t>F12</t>
        </is>
      </c>
      <c r="B23" s="1" t="inlineStr">
        <is>
          <t>dept_fuel_oil</t>
        </is>
      </c>
      <c r="C23" s="1" t="n">
        <v>2022</v>
      </c>
      <c r="D23" s="198" t="n">
        <v>594.0401649620001</v>
      </c>
      <c r="E23" s="198" t="n">
        <v>594.0401649620001</v>
      </c>
      <c r="F23" s="1" t="inlineStr">
        <is>
          <t>matches</t>
        </is>
      </c>
      <c r="G23" s="1" t="inlineStr">
        <is>
          <t>fuel_sales_department.csv</t>
        </is>
      </c>
    </row>
    <row r="24">
      <c r="A24" s="1" t="inlineStr">
        <is>
          <t>G12</t>
        </is>
      </c>
      <c r="B24" s="1" t="inlineStr">
        <is>
          <t>dept_fuel_oil</t>
        </is>
      </c>
      <c r="C24" s="1" t="n">
        <v>2023</v>
      </c>
      <c r="D24" s="198" t="n">
        <v>658.0930416160001</v>
      </c>
      <c r="E24" s="198" t="n">
        <v>658.0930416160001</v>
      </c>
      <c r="F24" s="1" t="inlineStr">
        <is>
          <t>matches</t>
        </is>
      </c>
      <c r="G24" s="1" t="inlineStr">
        <is>
          <t>fuel_sales_department.csv</t>
        </is>
      </c>
    </row>
    <row r="25">
      <c r="A25" s="1" t="inlineStr">
        <is>
          <t>F25</t>
        </is>
      </c>
      <c r="B25" s="1" t="inlineStr">
        <is>
          <t>macro_gdp_per_capita</t>
        </is>
      </c>
      <c r="C25" s="1" t="n">
        <v>2022</v>
      </c>
      <c r="D25" s="198" t="n">
        <v>76055.06748983047</v>
      </c>
      <c r="E25" s="198" t="n">
        <v>76055.06748983047</v>
      </c>
      <c r="F25" s="1" t="inlineStr">
        <is>
          <t>matches</t>
        </is>
      </c>
      <c r="G25" s="1" t="inlineStr">
        <is>
          <t>macro_statssa.csv</t>
        </is>
      </c>
    </row>
    <row r="26">
      <c r="A26" s="1" t="inlineStr">
        <is>
          <t>G25</t>
        </is>
      </c>
      <c r="B26" s="1" t="inlineStr">
        <is>
          <t>macro_gdp_per_capita</t>
        </is>
      </c>
      <c r="C26" s="1" t="n">
        <v>2023</v>
      </c>
      <c r="D26" s="198" t="n">
        <v>75781.52071231291</v>
      </c>
      <c r="E26" s="198" t="n">
        <v>75781.52071231291</v>
      </c>
      <c r="F26" s="1" t="inlineStr">
        <is>
          <t>matches</t>
        </is>
      </c>
      <c r="G26" s="1" t="inlineStr">
        <is>
          <t>macro_statssa.csv</t>
        </is>
      </c>
    </row>
    <row r="27">
      <c r="A27" s="1" t="inlineStr">
        <is>
          <t>H25</t>
        </is>
      </c>
      <c r="B27" s="1" t="inlineStr">
        <is>
          <t>macro_gdp_per_capita</t>
        </is>
      </c>
      <c r="C27" s="1" t="n">
        <v>2024</v>
      </c>
      <c r="D27" s="198" t="n">
        <v>75255.62912098455</v>
      </c>
      <c r="E27" s="198" t="n">
        <v>75255.62912098455</v>
      </c>
      <c r="F27" s="1" t="inlineStr">
        <is>
          <t>matches</t>
        </is>
      </c>
      <c r="G27" s="1" t="inlineStr">
        <is>
          <t>macro_statssa.csv</t>
        </is>
      </c>
    </row>
    <row r="28">
      <c r="A28" s="1" t="inlineStr">
        <is>
          <t>I25</t>
        </is>
      </c>
      <c r="B28" s="1" t="inlineStr">
        <is>
          <t>macro_gdp_per_capita</t>
        </is>
      </c>
      <c r="C28" s="1" t="n">
        <v>2025</v>
      </c>
      <c r="D28" s="198" t="n">
        <v>75149.98563223911</v>
      </c>
      <c r="E28" s="198" t="n">
        <v>75149.98563223911</v>
      </c>
      <c r="F28" s="1" t="inlineStr">
        <is>
          <t>matches</t>
        </is>
      </c>
      <c r="G28" s="1" t="inlineStr">
        <is>
          <t>macro_statssa.csv</t>
        </is>
      </c>
    </row>
    <row r="29">
      <c r="A29" s="1" t="inlineStr">
        <is>
          <t>F26</t>
        </is>
      </c>
      <c r="B29" s="1" t="inlineStr">
        <is>
          <t>macro_agriculture_forestry_and_fishing</t>
        </is>
      </c>
      <c r="C29" s="1" t="n">
        <v>2022</v>
      </c>
      <c r="D29" s="198" t="n">
        <v>131.7706421450265</v>
      </c>
      <c r="E29" s="198" t="n">
        <v>131.7706421450265</v>
      </c>
      <c r="F29" s="1" t="inlineStr">
        <is>
          <t>matches</t>
        </is>
      </c>
      <c r="G29" s="1" t="inlineStr">
        <is>
          <t>macro_statssa.csv</t>
        </is>
      </c>
    </row>
    <row r="30">
      <c r="A30" s="1" t="inlineStr">
        <is>
          <t>G26</t>
        </is>
      </c>
      <c r="B30" s="1" t="inlineStr">
        <is>
          <t>macro_agriculture_forestry_and_fishing</t>
        </is>
      </c>
      <c r="C30" s="1" t="n">
        <v>2023</v>
      </c>
      <c r="D30" s="198" t="n">
        <v>125.7466421450265</v>
      </c>
      <c r="E30" s="198" t="n">
        <v>125.7466421450265</v>
      </c>
      <c r="F30" s="1" t="inlineStr">
        <is>
          <t>matches</t>
        </is>
      </c>
      <c r="G30" s="1" t="inlineStr">
        <is>
          <t>macro_statssa.csv</t>
        </is>
      </c>
    </row>
    <row r="31">
      <c r="A31" s="1" t="inlineStr">
        <is>
          <t>H26</t>
        </is>
      </c>
      <c r="B31" s="1" t="inlineStr">
        <is>
          <t>macro_agriculture_forestry_and_fishing</t>
        </is>
      </c>
      <c r="C31" s="1" t="n">
        <v>2024</v>
      </c>
      <c r="D31" s="198" t="n">
        <v>114.7916421450265</v>
      </c>
      <c r="E31" s="198" t="n">
        <v>114.7916421450265</v>
      </c>
      <c r="F31" s="1" t="inlineStr">
        <is>
          <t>matches</t>
        </is>
      </c>
      <c r="G31" s="1" t="inlineStr">
        <is>
          <t>macro_statssa.csv</t>
        </is>
      </c>
    </row>
    <row r="32">
      <c r="A32" s="1" t="inlineStr">
        <is>
          <t>I26</t>
        </is>
      </c>
      <c r="B32" s="1" t="inlineStr">
        <is>
          <t>macro_agriculture_forestry_and_fishing</t>
        </is>
      </c>
      <c r="C32" s="1" t="n">
        <v>2025</v>
      </c>
      <c r="D32" s="198" t="n">
        <v>134.7967469817132</v>
      </c>
      <c r="E32" s="198" t="n">
        <v>134.7967469817132</v>
      </c>
      <c r="F32" s="1" t="inlineStr">
        <is>
          <t>matches</t>
        </is>
      </c>
      <c r="G32" s="1" t="inlineStr">
        <is>
          <t>macro_statssa.csv</t>
        </is>
      </c>
    </row>
    <row r="33">
      <c r="A33" s="1" t="inlineStr">
        <is>
          <t>F27</t>
        </is>
      </c>
      <c r="B33" s="1" t="inlineStr">
        <is>
          <t>macro_manufacturing</t>
        </is>
      </c>
      <c r="C33" s="1" t="n">
        <v>2022</v>
      </c>
      <c r="D33" s="198" t="n">
        <v>523.0907540648606</v>
      </c>
      <c r="E33" s="198" t="n">
        <v>523.0907540648606</v>
      </c>
      <c r="F33" s="1" t="inlineStr">
        <is>
          <t>matches</t>
        </is>
      </c>
      <c r="G33" s="1" t="inlineStr">
        <is>
          <t>macro_statssa.csv</t>
        </is>
      </c>
    </row>
    <row r="34">
      <c r="A34" s="1" t="inlineStr">
        <is>
          <t>G27</t>
        </is>
      </c>
      <c r="B34" s="1" t="inlineStr">
        <is>
          <t>macro_manufacturing</t>
        </is>
      </c>
      <c r="C34" s="1" t="n">
        <v>2023</v>
      </c>
      <c r="D34" s="198" t="n">
        <v>524.9937540648609</v>
      </c>
      <c r="E34" s="198" t="n">
        <v>524.9937540648609</v>
      </c>
      <c r="F34" s="1" t="inlineStr">
        <is>
          <t>matches</t>
        </is>
      </c>
      <c r="G34" s="1" t="inlineStr">
        <is>
          <t>macro_statssa.csv</t>
        </is>
      </c>
    </row>
    <row r="35">
      <c r="A35" s="1" t="inlineStr">
        <is>
          <t>H27</t>
        </is>
      </c>
      <c r="B35" s="1" t="inlineStr">
        <is>
          <t>macro_manufacturing</t>
        </is>
      </c>
      <c r="C35" s="1" t="n">
        <v>2024</v>
      </c>
      <c r="D35" s="198" t="n">
        <v>523.150754064861</v>
      </c>
      <c r="E35" s="198" t="n">
        <v>523.150754064861</v>
      </c>
      <c r="F35" s="1" t="inlineStr">
        <is>
          <t>matches</t>
        </is>
      </c>
      <c r="G35" s="1" t="inlineStr">
        <is>
          <t>macro_statssa.csv</t>
        </is>
      </c>
    </row>
    <row r="36">
      <c r="A36" s="1" t="inlineStr">
        <is>
          <t>I27</t>
        </is>
      </c>
      <c r="B36" s="1" t="inlineStr">
        <is>
          <t>macro_manufacturing</t>
        </is>
      </c>
      <c r="C36" s="1" t="n">
        <v>2025</v>
      </c>
      <c r="D36" s="198" t="n">
        <v>516.9856529750193</v>
      </c>
      <c r="E36" s="198" t="n">
        <v>516.9856529750193</v>
      </c>
      <c r="F36" s="1" t="inlineStr">
        <is>
          <t>matches</t>
        </is>
      </c>
      <c r="G36" s="1" t="inlineStr">
        <is>
          <t>macro_statssa.csv</t>
        </is>
      </c>
    </row>
    <row r="37">
      <c r="A37" s="1" t="inlineStr">
        <is>
          <t>F28</t>
        </is>
      </c>
      <c r="B37" s="1" t="inlineStr">
        <is>
          <t>macro_mining_and_quarrying</t>
        </is>
      </c>
      <c r="C37" s="1" t="n">
        <v>2022</v>
      </c>
      <c r="D37" s="198" t="n">
        <v>204.4529227196744</v>
      </c>
      <c r="E37" s="198" t="n">
        <v>204.4529227196744</v>
      </c>
      <c r="F37" s="1" t="inlineStr">
        <is>
          <t>matches</t>
        </is>
      </c>
      <c r="G37" s="1" t="inlineStr">
        <is>
          <t>macro_statssa.csv</t>
        </is>
      </c>
    </row>
    <row r="38">
      <c r="A38" s="1" t="inlineStr">
        <is>
          <t>G28</t>
        </is>
      </c>
      <c r="B38" s="1" t="inlineStr">
        <is>
          <t>macro_mining_and_quarrying</t>
        </is>
      </c>
      <c r="C38" s="1" t="n">
        <v>2023</v>
      </c>
      <c r="D38" s="198" t="n">
        <v>204.2286999662737</v>
      </c>
      <c r="E38" s="198" t="n">
        <v>204.2286999662738</v>
      </c>
      <c r="F38" s="1" t="inlineStr">
        <is>
          <t>matches</t>
        </is>
      </c>
      <c r="G38" s="1" t="inlineStr">
        <is>
          <t>macro_statssa.csv</t>
        </is>
      </c>
    </row>
    <row r="39">
      <c r="A39" s="1" t="inlineStr">
        <is>
          <t>H28</t>
        </is>
      </c>
      <c r="B39" s="1" t="inlineStr">
        <is>
          <t>macro_mining_and_quarrying</t>
        </is>
      </c>
      <c r="C39" s="1" t="n">
        <v>2024</v>
      </c>
      <c r="D39" s="198" t="n">
        <v>205.1258295918731</v>
      </c>
      <c r="E39" s="198" t="n">
        <v>205.1258295918731</v>
      </c>
      <c r="F39" s="1" t="inlineStr">
        <is>
          <t>matches</t>
        </is>
      </c>
      <c r="G39" s="1" t="inlineStr">
        <is>
          <t>macro_statssa.csv</t>
        </is>
      </c>
    </row>
    <row r="40">
      <c r="A40" s="1" t="inlineStr">
        <is>
          <t>I28</t>
        </is>
      </c>
      <c r="B40" s="1" t="inlineStr">
        <is>
          <t>macro_mining_and_quarrying</t>
        </is>
      </c>
      <c r="C40" s="1" t="n">
        <v>2025</v>
      </c>
      <c r="D40" s="198" t="n">
        <v>205.4648860142573</v>
      </c>
      <c r="E40" s="198" t="n">
        <v>205.4648860142574</v>
      </c>
      <c r="F40" s="1" t="inlineStr">
        <is>
          <t>matches</t>
        </is>
      </c>
      <c r="G40" s="1" t="inlineStr">
        <is>
          <t>macro_statssa.csv</t>
        </is>
      </c>
    </row>
    <row r="41">
      <c r="A41" s="1" t="inlineStr">
        <is>
          <t>F29</t>
        </is>
      </c>
      <c r="B41" s="1" t="inlineStr">
        <is>
          <t>macro_construction</t>
        </is>
      </c>
      <c r="C41" s="1" t="n">
        <v>2022</v>
      </c>
      <c r="D41" s="198" t="n">
        <v>110.0650907489087</v>
      </c>
      <c r="E41" s="198" t="n">
        <v>110.0650907489087</v>
      </c>
      <c r="F41" s="1" t="inlineStr">
        <is>
          <t>matches</t>
        </is>
      </c>
      <c r="G41" s="1" t="inlineStr">
        <is>
          <t>macro_statssa.csv</t>
        </is>
      </c>
    </row>
    <row r="42">
      <c r="A42" s="1" t="inlineStr">
        <is>
          <t>G29</t>
        </is>
      </c>
      <c r="B42" s="1" t="inlineStr">
        <is>
          <t>macro_construction</t>
        </is>
      </c>
      <c r="C42" s="1" t="n">
        <v>2023</v>
      </c>
      <c r="D42" s="198" t="n">
        <v>109.5650907489087</v>
      </c>
      <c r="E42" s="198" t="n">
        <v>109.5650907489087</v>
      </c>
      <c r="F42" s="1" t="inlineStr">
        <is>
          <t>matches</t>
        </is>
      </c>
      <c r="G42" s="1" t="inlineStr">
        <is>
          <t>macro_statssa.csv</t>
        </is>
      </c>
    </row>
    <row r="43">
      <c r="A43" s="1" t="inlineStr">
        <is>
          <t>H29</t>
        </is>
      </c>
      <c r="B43" s="1" t="inlineStr">
        <is>
          <t>macro_construction</t>
        </is>
      </c>
      <c r="C43" s="1" t="n">
        <v>2024</v>
      </c>
      <c r="D43" s="198" t="n">
        <v>103.6250907489087</v>
      </c>
      <c r="E43" s="198" t="n">
        <v>103.6250907489087</v>
      </c>
      <c r="F43" s="1" t="inlineStr">
        <is>
          <t>matches</t>
        </is>
      </c>
      <c r="G43" s="1" t="inlineStr">
        <is>
          <t>macro_statssa.csv</t>
        </is>
      </c>
    </row>
    <row r="44">
      <c r="A44" s="1" t="inlineStr">
        <is>
          <t>I29</t>
        </is>
      </c>
      <c r="B44" s="1" t="inlineStr">
        <is>
          <t>macro_construction</t>
        </is>
      </c>
      <c r="C44" s="1" t="n">
        <v>2025</v>
      </c>
      <c r="D44" s="198" t="n">
        <v>99.09852067977131</v>
      </c>
      <c r="E44" s="198" t="n">
        <v>99.09852067977131</v>
      </c>
      <c r="F44" s="1" t="inlineStr">
        <is>
          <t>matches</t>
        </is>
      </c>
      <c r="G44" s="1" t="inlineStr">
        <is>
          <t>macro_statssa.csv</t>
        </is>
      </c>
    </row>
    <row r="45">
      <c r="A45" s="1" t="inlineStr">
        <is>
          <t>F30</t>
        </is>
      </c>
      <c r="B45" s="1" t="inlineStr">
        <is>
          <t>manufacturing_volume_total</t>
        </is>
      </c>
      <c r="C45" s="1" t="n">
        <v>2022</v>
      </c>
      <c r="D45" s="198" t="n">
        <v>93.14166666666667</v>
      </c>
      <c r="E45" s="198" t="n">
        <v>93.14166666666667</v>
      </c>
      <c r="F45" s="1" t="inlineStr">
        <is>
          <t>matches</t>
        </is>
      </c>
      <c r="G45" s="1" t="inlineStr">
        <is>
          <t>activity_statssa_monthly.csv</t>
        </is>
      </c>
    </row>
    <row r="46">
      <c r="A46" s="1" t="inlineStr">
        <is>
          <t>G30</t>
        </is>
      </c>
      <c r="B46" s="1" t="inlineStr">
        <is>
          <t>manufacturing_volume_total</t>
        </is>
      </c>
      <c r="C46" s="1" t="n">
        <v>2023</v>
      </c>
      <c r="D46" s="198" t="n">
        <v>93.71666666666665</v>
      </c>
      <c r="E46" s="198" t="n">
        <v>93.71666666666665</v>
      </c>
      <c r="F46" s="1" t="inlineStr">
        <is>
          <t>matches</t>
        </is>
      </c>
      <c r="G46" s="1" t="inlineStr">
        <is>
          <t>activity_statssa_monthly.csv</t>
        </is>
      </c>
    </row>
    <row r="47">
      <c r="A47" s="1" t="inlineStr">
        <is>
          <t>H30</t>
        </is>
      </c>
      <c r="B47" s="1" t="inlineStr">
        <is>
          <t>manufacturing_volume_total</t>
        </is>
      </c>
      <c r="C47" s="1" t="n">
        <v>2024</v>
      </c>
      <c r="D47" s="198" t="n">
        <v>93.33333333333333</v>
      </c>
      <c r="E47" s="198" t="n">
        <v>93.33333333333333</v>
      </c>
      <c r="F47" s="1" t="inlineStr">
        <is>
          <t>matches</t>
        </is>
      </c>
      <c r="G47" s="1" t="inlineStr">
        <is>
          <t>activity_statssa_monthly.csv</t>
        </is>
      </c>
    </row>
    <row r="48">
      <c r="A48" s="1" t="inlineStr">
        <is>
          <t>I30</t>
        </is>
      </c>
      <c r="B48" s="1" t="inlineStr">
        <is>
          <t>manufacturing_volume_total</t>
        </is>
      </c>
      <c r="C48" s="1" t="n">
        <v>2025</v>
      </c>
      <c r="D48" s="198" t="n">
        <v>92.14166666666665</v>
      </c>
      <c r="E48" s="198" t="n">
        <v>92.14166666666667</v>
      </c>
      <c r="F48" s="1" t="inlineStr">
        <is>
          <t>matches</t>
        </is>
      </c>
      <c r="G48" s="1" t="inlineStr">
        <is>
          <t>activity_statssa_monthly.csv</t>
        </is>
      </c>
    </row>
    <row r="49">
      <c r="A49" s="1" t="inlineStr">
        <is>
          <t>F31</t>
        </is>
      </c>
      <c r="B49" s="1" t="inlineStr">
        <is>
          <t>mining_volume_total</t>
        </is>
      </c>
      <c r="C49" s="1" t="n">
        <v>2022</v>
      </c>
      <c r="D49" s="198" t="n">
        <v>93.00833333333334</v>
      </c>
      <c r="E49" s="198" t="n">
        <v>93.00833333333333</v>
      </c>
      <c r="F49" s="1" t="inlineStr">
        <is>
          <t>matches</t>
        </is>
      </c>
      <c r="G49" s="1" t="inlineStr">
        <is>
          <t>activity_statssa_monthly.csv</t>
        </is>
      </c>
    </row>
    <row r="50">
      <c r="A50" s="1" t="inlineStr">
        <is>
          <t>G31</t>
        </is>
      </c>
      <c r="B50" s="1" t="inlineStr">
        <is>
          <t>mining_volume_total</t>
        </is>
      </c>
      <c r="C50" s="1" t="n">
        <v>2023</v>
      </c>
      <c r="D50" s="198" t="n">
        <v>93.01666666666667</v>
      </c>
      <c r="E50" s="198" t="n">
        <v>93.01666666666667</v>
      </c>
      <c r="F50" s="1" t="inlineStr">
        <is>
          <t>matches</t>
        </is>
      </c>
      <c r="G50" s="1" t="inlineStr">
        <is>
          <t>activity_statssa_monthly.csv</t>
        </is>
      </c>
    </row>
    <row r="51">
      <c r="A51" s="1" t="inlineStr">
        <is>
          <t>H31</t>
        </is>
      </c>
      <c r="B51" s="1" t="inlineStr">
        <is>
          <t>mining_volume_total</t>
        </is>
      </c>
      <c r="C51" s="1" t="n">
        <v>2024</v>
      </c>
      <c r="D51" s="198" t="n">
        <v>93.53333333333332</v>
      </c>
      <c r="E51" s="198" t="n">
        <v>93.53333333333335</v>
      </c>
      <c r="F51" s="1" t="inlineStr">
        <is>
          <t>matches</t>
        </is>
      </c>
      <c r="G51" s="1" t="inlineStr">
        <is>
          <t>activity_statssa_monthly.csv</t>
        </is>
      </c>
    </row>
    <row r="52">
      <c r="A52" s="1" t="inlineStr">
        <is>
          <t>I31</t>
        </is>
      </c>
      <c r="B52" s="1" t="inlineStr">
        <is>
          <t>mining_volume_total</t>
        </is>
      </c>
      <c r="C52" s="1" t="n">
        <v>2025</v>
      </c>
      <c r="D52" s="198" t="n">
        <v>93.70833333333333</v>
      </c>
      <c r="E52" s="198" t="n">
        <v>93.70833333333333</v>
      </c>
      <c r="F52" s="1" t="inlineStr">
        <is>
          <t>matches</t>
        </is>
      </c>
      <c r="G52" s="1" t="inlineStr">
        <is>
          <t>activity_statssa_monthly.csv</t>
        </is>
      </c>
    </row>
    <row r="53">
      <c r="A53" s="1" t="inlineStr">
        <is>
          <t>F43</t>
        </is>
      </c>
      <c r="B53" s="1" t="inlineStr">
        <is>
          <t>Provincial: EC petrol / million L/year</t>
        </is>
      </c>
      <c r="C53" s="1" t="n">
        <v>2022</v>
      </c>
      <c r="D53" s="198" t="n">
        <v>703.1324447169991</v>
      </c>
      <c r="E53" s="198" t="n">
        <v>703.132444716999</v>
      </c>
      <c r="F53" s="1" t="inlineStr">
        <is>
          <t>matches</t>
        </is>
      </c>
      <c r="G53" s="1" t="inlineStr">
        <is>
          <t>fuel_sales_department_by_province.csv</t>
        </is>
      </c>
    </row>
    <row r="54">
      <c r="A54" s="1" t="inlineStr">
        <is>
          <t>F44</t>
        </is>
      </c>
      <c r="B54" s="1" t="inlineStr">
        <is>
          <t>Provincial: FS petrol / million L/year</t>
        </is>
      </c>
      <c r="C54" s="1" t="n">
        <v>2022</v>
      </c>
      <c r="D54" s="198" t="n">
        <v>587.4580081820001</v>
      </c>
      <c r="E54" s="198" t="n">
        <v>587.4580081820001</v>
      </c>
      <c r="F54" s="1" t="inlineStr">
        <is>
          <t>matches</t>
        </is>
      </c>
      <c r="G54" s="1" t="inlineStr">
        <is>
          <t>fuel_sales_department_by_province.csv</t>
        </is>
      </c>
    </row>
    <row r="55">
      <c r="A55" s="1" t="inlineStr">
        <is>
          <t>F45</t>
        </is>
      </c>
      <c r="B55" s="1" t="inlineStr">
        <is>
          <t>Provincial: GP petrol / million L/year</t>
        </is>
      </c>
      <c r="C55" s="1" t="n">
        <v>2022</v>
      </c>
      <c r="D55" s="198" t="n">
        <v>3530.440256933996</v>
      </c>
      <c r="E55" s="198" t="n">
        <v>3530.440256933996</v>
      </c>
      <c r="F55" s="1" t="inlineStr">
        <is>
          <t>matches</t>
        </is>
      </c>
      <c r="G55" s="1" t="inlineStr">
        <is>
          <t>fuel_sales_department_by_province.csv</t>
        </is>
      </c>
    </row>
    <row r="56">
      <c r="A56" s="1" t="inlineStr">
        <is>
          <t>F46</t>
        </is>
      </c>
      <c r="B56" s="1" t="inlineStr">
        <is>
          <t>Provincial: KZN petrol / million L/year</t>
        </is>
      </c>
      <c r="C56" s="1" t="n">
        <v>2022</v>
      </c>
      <c r="D56" s="198" t="n">
        <v>1498.937893394999</v>
      </c>
      <c r="E56" s="198" t="n">
        <v>1498.937893394999</v>
      </c>
      <c r="F56" s="1" t="inlineStr">
        <is>
          <t>matches</t>
        </is>
      </c>
      <c r="G56" s="1" t="inlineStr">
        <is>
          <t>fuel_sales_department_by_province.csv</t>
        </is>
      </c>
    </row>
    <row r="57">
      <c r="A57" s="1" t="inlineStr">
        <is>
          <t>F47</t>
        </is>
      </c>
      <c r="B57" s="1" t="inlineStr">
        <is>
          <t>Provincial: LP petrol / million L/year</t>
        </is>
      </c>
      <c r="C57" s="1" t="n">
        <v>2022</v>
      </c>
      <c r="D57" s="198" t="n">
        <v>273.644045045999</v>
      </c>
      <c r="E57" s="198" t="n">
        <v>273.644045045999</v>
      </c>
      <c r="F57" s="1" t="inlineStr">
        <is>
          <t>matches</t>
        </is>
      </c>
      <c r="G57" s="1" t="inlineStr">
        <is>
          <t>fuel_sales_department_by_province.csv</t>
        </is>
      </c>
    </row>
    <row r="58">
      <c r="A58" s="1" t="inlineStr">
        <is>
          <t>F48</t>
        </is>
      </c>
      <c r="B58" s="1" t="inlineStr">
        <is>
          <t>Provincial: MP petrol / million L/year</t>
        </is>
      </c>
      <c r="C58" s="1" t="n">
        <v>2022</v>
      </c>
      <c r="D58" s="198" t="n">
        <v>612.2656460789989</v>
      </c>
      <c r="E58" s="198" t="n">
        <v>612.2656460789989</v>
      </c>
      <c r="F58" s="1" t="inlineStr">
        <is>
          <t>matches</t>
        </is>
      </c>
      <c r="G58" s="1" t="inlineStr">
        <is>
          <t>fuel_sales_department_by_province.csv</t>
        </is>
      </c>
    </row>
    <row r="59">
      <c r="A59" s="1" t="inlineStr">
        <is>
          <t>F49</t>
        </is>
      </c>
      <c r="B59" s="1" t="inlineStr">
        <is>
          <t>Provincial: NC petrol / million L/year</t>
        </is>
      </c>
      <c r="C59" s="1" t="n">
        <v>2022</v>
      </c>
      <c r="D59" s="198" t="n">
        <v>99.82992901300001</v>
      </c>
      <c r="E59" s="198" t="n">
        <v>99.829929013</v>
      </c>
      <c r="F59" s="1" t="inlineStr">
        <is>
          <t>matches</t>
        </is>
      </c>
      <c r="G59" s="1" t="inlineStr">
        <is>
          <t>fuel_sales_department_by_province.csv</t>
        </is>
      </c>
    </row>
    <row r="60">
      <c r="A60" s="1" t="inlineStr">
        <is>
          <t>F50</t>
        </is>
      </c>
      <c r="B60" s="1" t="inlineStr">
        <is>
          <t>Provincial: NW petrol / million L/year</t>
        </is>
      </c>
      <c r="C60" s="1" t="n">
        <v>2022</v>
      </c>
      <c r="D60" s="198" t="n">
        <v>448.1562321239999</v>
      </c>
      <c r="E60" s="198" t="n">
        <v>448.1562321239999</v>
      </c>
      <c r="F60" s="1" t="inlineStr">
        <is>
          <t>matches</t>
        </is>
      </c>
      <c r="G60" s="1" t="inlineStr">
        <is>
          <t>fuel_sales_department_by_province.csv</t>
        </is>
      </c>
    </row>
    <row r="61">
      <c r="A61" s="1" t="inlineStr">
        <is>
          <t>F51</t>
        </is>
      </c>
      <c r="B61" s="1" t="inlineStr">
        <is>
          <t>Provincial: WC petrol / million L/year</t>
        </is>
      </c>
      <c r="C61" s="1" t="n">
        <v>2022</v>
      </c>
      <c r="D61" s="198" t="n">
        <v>1431.005460082997</v>
      </c>
      <c r="E61" s="198" t="n">
        <v>1431.005460082997</v>
      </c>
      <c r="F61" s="1" t="inlineStr">
        <is>
          <t>matches</t>
        </is>
      </c>
      <c r="G61" s="1" t="inlineStr">
        <is>
          <t>fuel_sales_department_by_province.csv</t>
        </is>
      </c>
    </row>
    <row r="62">
      <c r="A62" s="1" t="inlineStr">
        <is>
          <t>F52</t>
        </is>
      </c>
      <c r="B62" s="1" t="inlineStr">
        <is>
          <t>Provincial: EC diesel / million L/year</t>
        </is>
      </c>
      <c r="C62" s="1" t="n">
        <v>2022</v>
      </c>
      <c r="D62" s="198" t="n">
        <v>1032.35218272</v>
      </c>
      <c r="E62" s="198" t="n">
        <v>1032.35218272</v>
      </c>
      <c r="F62" s="1" t="inlineStr">
        <is>
          <t>matches</t>
        </is>
      </c>
      <c r="G62" s="1" t="inlineStr">
        <is>
          <t>fuel_sales_department_by_province.csv</t>
        </is>
      </c>
    </row>
    <row r="63">
      <c r="A63" s="1" t="inlineStr">
        <is>
          <t>F53</t>
        </is>
      </c>
      <c r="B63" s="1" t="inlineStr">
        <is>
          <t>Provincial: FS diesel / million L/year</t>
        </is>
      </c>
      <c r="C63" s="1" t="n">
        <v>2022</v>
      </c>
      <c r="D63" s="198" t="n">
        <v>781.8611598310002</v>
      </c>
      <c r="E63" s="198" t="n">
        <v>781.8611598310002</v>
      </c>
      <c r="F63" s="1" t="inlineStr">
        <is>
          <t>matches</t>
        </is>
      </c>
      <c r="G63" s="1" t="inlineStr">
        <is>
          <t>fuel_sales_department_by_province.csv</t>
        </is>
      </c>
    </row>
    <row r="64">
      <c r="A64" s="1" t="inlineStr">
        <is>
          <t>F54</t>
        </is>
      </c>
      <c r="B64" s="1" t="inlineStr">
        <is>
          <t>Provincial: GP diesel / million L/year</t>
        </is>
      </c>
      <c r="C64" s="1" t="n">
        <v>2022</v>
      </c>
      <c r="D64" s="198" t="n">
        <v>3278.990501961999</v>
      </c>
      <c r="E64" s="198" t="n">
        <v>3278.990501961999</v>
      </c>
      <c r="F64" s="1" t="inlineStr">
        <is>
          <t>matches</t>
        </is>
      </c>
      <c r="G64" s="1" t="inlineStr">
        <is>
          <t>fuel_sales_department_by_province.csv</t>
        </is>
      </c>
    </row>
    <row r="65">
      <c r="A65" s="1" t="inlineStr">
        <is>
          <t>F55</t>
        </is>
      </c>
      <c r="B65" s="1" t="inlineStr">
        <is>
          <t>Provincial: KZN diesel / million L/year</t>
        </is>
      </c>
      <c r="C65" s="1" t="n">
        <v>2022</v>
      </c>
      <c r="D65" s="198" t="n">
        <v>2785.554802503</v>
      </c>
      <c r="E65" s="198" t="n">
        <v>2785.554802503</v>
      </c>
      <c r="F65" s="1" t="inlineStr">
        <is>
          <t>matches</t>
        </is>
      </c>
      <c r="G65" s="1" t="inlineStr">
        <is>
          <t>fuel_sales_department_by_province.csv</t>
        </is>
      </c>
    </row>
    <row r="66">
      <c r="A66" s="1" t="inlineStr">
        <is>
          <t>F56</t>
        </is>
      </c>
      <c r="B66" s="1" t="inlineStr">
        <is>
          <t>Provincial: LP diesel / million L/year</t>
        </is>
      </c>
      <c r="C66" s="1" t="n">
        <v>2022</v>
      </c>
      <c r="D66" s="198" t="n">
        <v>221.987440248</v>
      </c>
      <c r="E66" s="198" t="n">
        <v>221.987440248</v>
      </c>
      <c r="F66" s="1" t="inlineStr">
        <is>
          <t>matches</t>
        </is>
      </c>
      <c r="G66" s="1" t="inlineStr">
        <is>
          <t>fuel_sales_department_by_province.csv</t>
        </is>
      </c>
    </row>
    <row r="67">
      <c r="A67" s="1" t="inlineStr">
        <is>
          <t>F57</t>
        </is>
      </c>
      <c r="B67" s="1" t="inlineStr">
        <is>
          <t>Provincial: MP diesel / million L/year</t>
        </is>
      </c>
      <c r="C67" s="1" t="n">
        <v>2022</v>
      </c>
      <c r="D67" s="198" t="n">
        <v>1144.924075864997</v>
      </c>
      <c r="E67" s="198" t="n">
        <v>1144.924075864997</v>
      </c>
      <c r="F67" s="1" t="inlineStr">
        <is>
          <t>matches</t>
        </is>
      </c>
      <c r="G67" s="1" t="inlineStr">
        <is>
          <t>fuel_sales_department_by_province.csv</t>
        </is>
      </c>
    </row>
    <row r="68">
      <c r="A68" s="1" t="inlineStr">
        <is>
          <t>F58</t>
        </is>
      </c>
      <c r="B68" s="1" t="inlineStr">
        <is>
          <t>Provincial: NC diesel / million L/year</t>
        </is>
      </c>
      <c r="C68" s="1" t="n">
        <v>2022</v>
      </c>
      <c r="D68" s="198" t="n">
        <v>351.9801199100001</v>
      </c>
      <c r="E68" s="198" t="n">
        <v>351.9801199100001</v>
      </c>
      <c r="F68" s="1" t="inlineStr">
        <is>
          <t>matches</t>
        </is>
      </c>
      <c r="G68" s="1" t="inlineStr">
        <is>
          <t>fuel_sales_department_by_province.csv</t>
        </is>
      </c>
    </row>
    <row r="69">
      <c r="A69" s="1" t="inlineStr">
        <is>
          <t>F59</t>
        </is>
      </c>
      <c r="B69" s="1" t="inlineStr">
        <is>
          <t>Provincial: NW diesel / million L/year</t>
        </is>
      </c>
      <c r="C69" s="1" t="n">
        <v>2022</v>
      </c>
      <c r="D69" s="198" t="n">
        <v>619.906488913</v>
      </c>
      <c r="E69" s="198" t="n">
        <v>619.906488913</v>
      </c>
      <c r="F69" s="1" t="inlineStr">
        <is>
          <t>matches</t>
        </is>
      </c>
      <c r="G69" s="1" t="inlineStr">
        <is>
          <t>fuel_sales_department_by_province.csv</t>
        </is>
      </c>
    </row>
    <row r="70">
      <c r="A70" s="1" t="inlineStr">
        <is>
          <t>F60</t>
        </is>
      </c>
      <c r="B70" s="1" t="inlineStr">
        <is>
          <t>Provincial: WC diesel / million L/year</t>
        </is>
      </c>
      <c r="C70" s="1" t="n">
        <v>2022</v>
      </c>
      <c r="D70" s="198" t="n">
        <v>2499.769547067</v>
      </c>
      <c r="E70" s="198"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DR04 transport cost, Power fleet, Vehicle history, HML response, Gap status, Checks, History sources. No other cell changed.</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85" t="inlineStr">
        <is>
          <t>Used for</t>
        </is>
      </c>
      <c r="B4" s="185" t="inlineStr">
        <is>
          <t>Publisher</t>
        </is>
      </c>
      <c r="C4" s="185" t="inlineStr">
        <is>
          <t>Link</t>
        </is>
      </c>
      <c r="D4" s="185" t="inlineStr">
        <is>
          <t>Original file</t>
        </is>
      </c>
      <c r="E4" s="185" t="inlineStr">
        <is>
          <t>Where the original is kept</t>
        </is>
      </c>
      <c r="F4" s="185" t="inlineStr">
        <is>
          <t>Extract in the repository</t>
        </is>
      </c>
      <c r="G4" s="185" t="inlineStr">
        <is>
          <t>Refresh command</t>
        </is>
      </c>
      <c r="H4" s="185" t="inlineStr">
        <is>
          <t>Periods</t>
        </is>
      </c>
      <c r="I4" s="185" t="inlineStr">
        <is>
          <t>Limits</t>
        </is>
      </c>
    </row>
    <row r="5">
      <c r="A5" s="197" t="inlineStr">
        <is>
          <t>History sections 1 and 4: national sales</t>
        </is>
      </c>
      <c r="B5" s="197" t="inlineStr">
        <is>
          <t>Department of Mineral and Petroleum Resources (energy department)</t>
        </is>
      </c>
      <c r="C5" s="197" t="inlineStr">
        <is>
          <t>https://www.dmpr.gov.za/Portals/0/Energy_Website/files/media/SA FUEL SALES VOLUME/</t>
        </is>
      </c>
      <c r="D5" s="197" t="inlineStr">
        <is>
          <t>&lt;year&gt;-...-FSV....xls(x), national annual workbooks 2005-2023</t>
        </is>
      </c>
      <c r="E5" s="197" t="inlineStr">
        <is>
          <t>local to Manish and Nigel; not on main</t>
        </is>
      </c>
      <c r="F5" s="197" t="inlineStr">
        <is>
          <t>assumptions/2026/timeseries/fuel_sales_department.csv</t>
        </is>
      </c>
      <c r="G5" s="197" t="inlineStr">
        <is>
          <t>python -m lfm.scripts.fetch_energy_dept --vintage 2026</t>
        </is>
      </c>
      <c r="H5" s="197" t="inlineStr">
        <is>
          <t>2005-2023</t>
        </is>
      </c>
      <c r="I5" s="197" t="inlineStr">
        <is>
          <t>2013 corrected on manish-branch (published sheet). Series ends 2023.</t>
        </is>
      </c>
    </row>
    <row r="6">
      <c r="A6" s="197" t="inlineStr">
        <is>
          <t>History section 1: sales by province</t>
        </is>
      </c>
      <c r="B6" s="197" t="inlineStr">
        <is>
          <t>Department of Mineral and Petroleum Resources (energy department)</t>
        </is>
      </c>
      <c r="C6" s="197" t="inlineStr">
        <is>
          <t>https://www.dmpr.gov.za/Portals/0/Energy_Website/files/media/SA FUEL SALES VOLUME/</t>
        </is>
      </c>
      <c r="D6" s="197" t="inlineStr">
        <is>
          <t>&lt;year&gt;-...-Magisterial-Districts-data.xlsx, quarterly sheets</t>
        </is>
      </c>
      <c r="E6" s="197" t="inlineStr">
        <is>
          <t>local to Manish and Nigel; not on main (2013 annual workbook on manish-branch)</t>
        </is>
      </c>
      <c r="F6" s="197" t="inlineStr">
        <is>
          <t>assumptions/2026/timeseries/fuel_sales_department_by_province.csv</t>
        </is>
      </c>
      <c r="G6" s="197" t="inlineStr">
        <is>
          <t>python -m lfm.scripts.fetch_energy_dept --vintage 2026</t>
        </is>
      </c>
      <c r="H6" s="197" t="inlineStr">
        <is>
          <t>2013-2022</t>
        </is>
      </c>
      <c r="I6" s="197" t="inlineStr">
        <is>
          <t>Ends 2022. 2018 understated about 1.8% (district Q1 sheet incomplete). 2014-Q3 differs from national file.</t>
        </is>
      </c>
    </row>
    <row r="7">
      <c r="A7" s="197" t="inlineStr">
        <is>
          <t>History section 2: imports and exports</t>
        </is>
      </c>
      <c r="B7" s="197" t="inlineStr">
        <is>
          <t>South African Revenue Service, trade statistics</t>
        </is>
      </c>
      <c r="C7" s="197" t="inlineStr">
        <is>
          <t>https://tools.sars.gov.za/tradestatsportal/data_download.aspx</t>
        </is>
      </c>
      <c r="D7" s="197" t="inlineStr">
        <is>
          <t>sars-&lt;imports|exports&gt;-chapter27-fuels-&lt;year&gt;.xlsx, 2010-2026</t>
        </is>
      </c>
      <c r="E7" s="197" t="inlineStr">
        <is>
          <t>on manish-branch (external/data/raw/sars/)</t>
        </is>
      </c>
      <c r="F7" s="197" t="inlineStr">
        <is>
          <t>assumptions/2026/timeseries/fuel_trade_sars.csv</t>
        </is>
      </c>
      <c r="G7" s="197" t="inlineStr">
        <is>
          <t>python -m lfm.scripts.fetch_sars --vintage 2026</t>
        </is>
      </c>
      <c r="H7" s="197" t="inlineStr">
        <is>
          <t>2010-2026</t>
        </is>
      </c>
      <c r="I7" s="197" t="inlineStr">
        <is>
          <t>Primary record of imports and exports from 2014. Kilograms to 2012, litres from 2014, both in 2013.</t>
        </is>
      </c>
    </row>
    <row r="8">
      <c r="A8" s="197" t="inlineStr">
        <is>
          <t>History section 2: FIASA comparison rows</t>
        </is>
      </c>
      <c r="B8" s="197" t="inlineStr">
        <is>
          <t>Fuels Industry Association of South Africa (from customs data)</t>
        </is>
      </c>
      <c r="C8" s="197" t="inlineStr">
        <is>
          <t>https://fuelsindustry.org.za/publications/annual-reports/</t>
        </is>
      </c>
      <c r="D8" s="197" t="inlineStr">
        <is>
          <t>annual-report-&lt;year&gt;.pdf; 2025 edition pp.47-49</t>
        </is>
      </c>
      <c r="E8" s="197" t="inlineStr">
        <is>
          <t>local to Manish and Nigel; not on main; 2025 edition on main</t>
        </is>
      </c>
      <c r="F8" s="197" t="inlineStr">
        <is>
          <t>assumptions/2026/timeseries/fuel_trade_fiasa.csv</t>
        </is>
      </c>
      <c r="G8" s="197" t="inlineStr">
        <is>
          <t>python -m lfm.scripts.fetch_fuel_sales --vintage 2026</t>
        </is>
      </c>
      <c r="H8" s="197" t="inlineStr">
        <is>
          <t>2009-2025</t>
        </is>
      </c>
      <c r="I8" s="197" t="inlineStr">
        <is>
          <t>Cross-check, and the record before 2014; SARS is primary from 2014. 'Kerosene' is jet plus paraffin. Its 2024 diesel import figure is 4.000 bn L above customs.</t>
        </is>
      </c>
    </row>
    <row r="9">
      <c r="A9" s="197" t="inlineStr">
        <is>
          <t>History section 4: FIASA comparison row</t>
        </is>
      </c>
      <c r="B9" s="197" t="inlineStr">
        <is>
          <t>Fuels Industry Association of South Africa</t>
        </is>
      </c>
      <c r="C9" s="197" t="inlineStr">
        <is>
          <t>https://fuelsindustry.org.za/publications/annual-reports/</t>
        </is>
      </c>
      <c r="D9" s="197" t="inlineStr">
        <is>
          <t>annual-report-&lt;year&gt;.pdf, 2021-2025 editions</t>
        </is>
      </c>
      <c r="E9" s="197" t="inlineStr">
        <is>
          <t>local to Manish and Nigel; not on main; 2025 edition on main</t>
        </is>
      </c>
      <c r="F9" s="197" t="inlineStr">
        <is>
          <t>assumptions/2026/timeseries/fuel_sales_fiasa.csv</t>
        </is>
      </c>
      <c r="G9" s="197" t="inlineStr">
        <is>
          <t>python -m lfm.scripts.fetch_fuel_sales --vintage 2026</t>
        </is>
      </c>
      <c r="H9" s="197" t="inlineStr">
        <is>
          <t>2009-2024</t>
        </is>
      </c>
      <c r="I9" s="197" t="inlineStr">
        <is>
          <t>Used for 2024 only. Its 2013 figures equal the department's superseded sheet.</t>
        </is>
      </c>
    </row>
    <row r="10">
      <c r="A10" s="197" t="inlineStr">
        <is>
          <t>History section 3 and Sector history: production and diesel by sector</t>
        </is>
      </c>
      <c r="B10" s="197" t="inlineStr">
        <is>
          <t>Department of Mineral and Petroleum Resources (energy department)</t>
        </is>
      </c>
      <c r="C10" s="197" t="inlineStr">
        <is>
          <t>https://www.dmpr.gov.za/Portals/0/Energy_Website/files/media/Energy_Balances.html</t>
        </is>
      </c>
      <c r="D10" s="197" t="inlineStr">
        <is>
          <t>&lt;year&gt;-Commodity-Flow-and-Energy-Balance.xlsx, 2007-2021</t>
        </is>
      </c>
      <c r="E10" s="197" t="inlineStr">
        <is>
          <t>local to Manish and Nigel; not on main</t>
        </is>
      </c>
      <c r="F10" s="197" t="inlineStr">
        <is>
          <t>assumptions/2026/timeseries/energy_balance_department.csv</t>
        </is>
      </c>
      <c r="G10" s="197" t="inlineStr">
        <is>
          <t>python -m lfm.scripts.fetch_energy_dept --vintage 2026</t>
        </is>
      </c>
      <c r="H10" s="197" t="inlineStr">
        <is>
          <t>2007-2021</t>
        </is>
      </c>
      <c r="I10" s="197" t="inlineStr">
        <is>
          <t>Ends 2021. Sector definitions shift in 2016. Fuel oil not extracted.</t>
        </is>
      </c>
    </row>
    <row r="11">
      <c r="A11" s="197" t="inlineStr">
        <is>
          <t>History section 3: refinery output reported to JODI (comparison only, not used)</t>
        </is>
      </c>
      <c r="B11" s="197" t="inlineStr">
        <is>
          <t>JODI oil database (South Africa's submissions)</t>
        </is>
      </c>
      <c r="C11" s="197" t="inlineStr">
        <is>
          <t>https://www.jodidata.org/oil/database/data-downloads.aspx</t>
        </is>
      </c>
      <c r="D11" s="197" t="inlineStr">
        <is>
          <t>jodi-secondary-zaf-2017-2022.csv; jodi-secondary-zaf-2023-2025.csv</t>
        </is>
      </c>
      <c r="E11" s="197" t="inlineStr">
        <is>
          <t>on manish-branch (external/data/raw/jodi/)</t>
        </is>
      </c>
      <c r="F11" s="197" t="inlineStr">
        <is>
          <t>assumptions/2026/timeseries/oil_balance_jodi.csv</t>
        </is>
      </c>
      <c r="G11" s="197" t="inlineStr">
        <is>
          <t>python -m lfm.scripts.stage_jodi --vintage 2026</t>
        </is>
      </c>
      <c r="H11" s="197" t="inlineStr">
        <is>
          <t>2017-2024</t>
        </is>
      </c>
      <c r="I11" s="197" t="inlineStr">
        <is>
          <t>Lowest JODI assessment code throughout. Diesel refinery output agrees with the energy balance within 4% for 2017-2021; petrol is 12-24% higher. Imports, demand and stocks are not usable.</t>
        </is>
      </c>
    </row>
    <row r="12">
      <c r="A12" s="197" t="inlineStr">
        <is>
          <t>DR04 entry points: petrol and diesel imports by customs office</t>
        </is>
      </c>
      <c r="B12" s="197" t="inlineStr">
        <is>
          <t>South African Revenue Service, trade statistics</t>
        </is>
      </c>
      <c r="C12" s="197" t="inlineStr">
        <is>
          <t>https://tools.sars.gov.za/tradestatsportal/data_download.aspx</t>
        </is>
      </c>
      <c r="D12" s="197" t="inlineStr">
        <is>
          <t>same workbooks</t>
        </is>
      </c>
      <c r="E12" s="197" t="inlineStr">
        <is>
          <t>on manish-branch (external/data/raw/sars/)</t>
        </is>
      </c>
      <c r="F12" s="197" t="inlineStr">
        <is>
          <t>assumptions/2026/timeseries/fuel_trade_sars_by_office.csv</t>
        </is>
      </c>
      <c r="G12" s="197" t="inlineStr">
        <is>
          <t>python -m lfm.scripts.fetch_sars --vintage 2026</t>
        </is>
      </c>
      <c r="H12" s="197" t="inlineStr">
        <is>
          <t>2010-2026</t>
        </is>
      </c>
      <c r="I12" s="197" t="inlineStr">
        <is>
          <t>Customs office that cleared the goods: a proxy for entry port, not a terminal record.</t>
        </is>
      </c>
    </row>
    <row r="13">
      <c r="A13" s="197" t="inlineStr">
        <is>
          <t>History section 3: operators' reported output</t>
        </is>
      </c>
      <c r="B13" s="197" t="inlineStr">
        <is>
          <t>Sasol (production and sales metrics); Glencore (annual reports)</t>
        </is>
      </c>
      <c r="C13" s="197" t="inlineStr">
        <is>
          <t>https://www.sasol.com/</t>
        </is>
      </c>
      <c r="D13" s="197" t="inlineStr">
        <is>
          <t>sasol-metrics-fy2022/2025/2026.pdf, p.4; GLEN-2023/2024/2025-Annual-Report.pdf</t>
        </is>
      </c>
      <c r="E13" s="197" t="inlineStr">
        <is>
          <t>Sasol files on manish-branch (external/data/raw/sasol/); Glencore reports by link only</t>
        </is>
      </c>
      <c r="F13" s="197" t="inlineStr">
        <is>
          <t>assumptions/2026/reference/refinery_output_operators.csv</t>
        </is>
      </c>
      <c r="G13" s="197" t="inlineStr">
        <is>
          <t>none</t>
        </is>
      </c>
      <c r="H13" s="197" t="inlineStr">
        <is>
          <t>2020-2026</t>
        </is>
      </c>
      <c r="I13" s="197" t="inlineStr">
        <is>
          <t>All refined products, no product split; fiscal and calendar years; Astron as energy content.</t>
        </is>
      </c>
    </row>
    <row r="14">
      <c r="A14" s="197" t="inlineStr">
        <is>
          <t>History section 5: litres levied</t>
        </is>
      </c>
      <c r="B14" s="197" t="inlineStr">
        <is>
          <t>Road Accident Fund</t>
        </is>
      </c>
      <c r="C14" s="197" t="inlineStr">
        <is>
          <t>https://static.pmg.org.za/RAF_Annual_Report_2025.pdf</t>
        </is>
      </c>
      <c r="D14" s="197" t="inlineStr">
        <is>
          <t>raf-annual-report-2024-25.pdf, note 16 (p.183)</t>
        </is>
      </c>
      <c r="E14" s="197" t="inlineStr">
        <is>
          <t>on manish-branch (external/data/raw/raf/)</t>
        </is>
      </c>
      <c r="F14" s="197" t="inlineStr">
        <is>
          <t>assumptions/2026/reference/fuel_levy_revenue_raf.csv</t>
        </is>
      </c>
      <c r="G14" s="197" t="inlineStr">
        <is>
          <t>none</t>
        </is>
      </c>
      <c r="H14" s="197" t="inlineStr">
        <is>
          <t>2024-2025</t>
        </is>
      </c>
      <c r="I14" s="197" t="inlineStr">
        <is>
          <t>Gross levies and diesel rebate in rand; litres derived in the balance note. Fiscal years; petrol and diesel together.</t>
        </is>
      </c>
    </row>
    <row r="15">
      <c r="A15" s="197" t="inlineStr">
        <is>
          <t>Sector history: mining and manufacturing volume indices</t>
        </is>
      </c>
      <c r="B15" s="197" t="inlineStr">
        <is>
          <t>Statistics South Africa (P2041 mining, P3041.2 manufacturing, P7162 land transport, P0141 CPI)</t>
        </is>
      </c>
      <c r="C15" s="197" t="inlineStr">
        <is>
          <t>https://www.statssa.gov.za/?page_id=1847</t>
        </is>
      </c>
      <c r="D15" s="197" t="inlineStr">
        <is>
          <t>release zips, July and August 2026</t>
        </is>
      </c>
      <c r="E15" s="197" t="inlineStr">
        <is>
          <t>on manish-branch (external/data/raw/statssa/)</t>
        </is>
      </c>
      <c r="F15" s="197" t="inlineStr">
        <is>
          <t>assumptions/2026/timeseries/activity_statssa_monthly.csv</t>
        </is>
      </c>
      <c r="G15" s="197" t="inlineStr">
        <is>
          <t>python -m lfm.scripts.fetch_statssa_monthly --vintage 2026</t>
        </is>
      </c>
      <c r="H15" s="197" t="inlineStr">
        <is>
          <t>1998-01-2026-08</t>
        </is>
      </c>
      <c r="I15" s="197" t="inlineStr">
        <is>
          <t>Activity measures, not fuel volumes. Not seasonally adjusted. Tonnes, not tonne-kilometres.</t>
        </is>
      </c>
    </row>
    <row r="16">
      <c r="A16" s="197" t="inlineStr">
        <is>
          <t>Sector history: agriculture real value added</t>
        </is>
      </c>
      <c r="B16" s="197" t="inlineStr">
        <is>
          <t>Statistics South Africa (P0441 GDP; P0302 mid-year population)</t>
        </is>
      </c>
      <c r="C16" s="197" t="inlineStr">
        <is>
          <t>https://www.statssa.gov.za/?page_id=1854&amp;PPN=P0441</t>
        </is>
      </c>
      <c r="D16" s="197" t="inlineStr">
        <is>
          <t>GDP P0441 - GDP Time series Q2 2026.xlsx (Annual sheet); Country projection ... (2002-2026).xlsx</t>
        </is>
      </c>
      <c r="E16" s="197" t="inlineStr">
        <is>
          <t>on manish-branch (external/data/raw/statssa/)</t>
        </is>
      </c>
      <c r="F16" s="197" t="inlineStr">
        <is>
          <t>assumptions/2026/timeseries/macro_statssa.csv</t>
        </is>
      </c>
      <c r="G16" s="197" t="inlineStr">
        <is>
          <t>python -m lfm.scripts.fetch_economy --vintage 2026</t>
        </is>
      </c>
      <c r="H16" s="197" t="inlineStr">
        <is>
          <t>1993-2050</t>
        </is>
      </c>
      <c r="I16" s="197" t="inlineStr">
        <is>
          <t>Manual placement each release. Years after 2026 are projections, not observations.</t>
        </is>
      </c>
    </row>
    <row r="17">
      <c r="A17" s="197" t="inlineStr">
        <is>
          <t>History section 7: aircraft movements</t>
        </is>
      </c>
      <c r="B17" s="197" t="inlineStr">
        <is>
          <t>Airports Company South Africa</t>
        </is>
      </c>
      <c r="C17" s="197" t="inlineStr">
        <is>
          <t>https://www.airports.co.za/StatisticsLib/</t>
        </is>
      </c>
      <c r="D17" s="197" t="inlineStr">
        <is>
          <t>derived from the monthly file</t>
        </is>
      </c>
      <c r="E17" s="197" t="inlineStr">
        <is>
          <t>derived</t>
        </is>
      </c>
      <c r="F17" s="197" t="inlineStr">
        <is>
          <t>assumptions/2026/timeseries/air_traffic_acsa_annual.csv</t>
        </is>
      </c>
      <c r="G17" s="197" t="inlineStr">
        <is>
          <t>python -m lfm.scripts.fetch_acsa --vintage 2026</t>
        </is>
      </c>
      <c r="H17" s="197" t="inlineStr">
        <is>
          <t>2013-2025</t>
        </is>
      </c>
      <c r="I17" s="197" t="inlineStr"/>
    </row>
    <row r="18">
      <c r="A18" s="197" t="inlineStr">
        <is>
          <t>History section 6: quarter 1 2023 provincial shares</t>
        </is>
      </c>
      <c r="B18" s="197" t="inlineStr">
        <is>
          <t>Department of Mineral and Petroleum Resources (energy department)</t>
        </is>
      </c>
      <c r="C18" s="197" t="inlineStr">
        <is>
          <t>https://www.dmpr.gov.za/Portals/0/Energy_Website/files/media/SA FUEL SALES VOLUME/</t>
        </is>
      </c>
      <c r="D18" s="197" t="inlineStr">
        <is>
          <t>same workbooks; source_file column names each one</t>
        </is>
      </c>
      <c r="E18" s="197" t="inlineStr">
        <is>
          <t>local to Manish and Nigel; not on main</t>
        </is>
      </c>
      <c r="F18" s="197" t="inlineStr">
        <is>
          <t>assumptions/2026/timeseries/fuel_sales_department_by_province_quarterly.csv</t>
        </is>
      </c>
      <c r="G18" s="197" t="inlineStr">
        <is>
          <t>python -m lfm.scripts.fetch_energy_dept --vintage 2026</t>
        </is>
      </c>
      <c r="H18" s="197" t="inlineStr">
        <is>
          <t>2013-Q1-2023-Q1</t>
        </is>
      </c>
      <c r="I18" s="197" t="inlineStr">
        <is>
          <t>26 province/product years have blank quarters in the source (none petrol or diesel).</t>
        </is>
      </c>
    </row>
    <row r="19">
      <c r="A19" s="197" t="inlineStr">
        <is>
          <t>History section 6: provincial GDP used to move the 2024 shares</t>
        </is>
      </c>
      <c r="B19" s="197" t="inlineStr">
        <is>
          <t>Statistics South Africa (P0441.2 Provincial GDP)</t>
        </is>
      </c>
      <c r="C19" s="197" t="inlineStr">
        <is>
          <t>https://www.statssa.gov.za/?page_id=1847</t>
        </is>
      </c>
      <c r="D19" s="197" t="inlineStr">
        <is>
          <t>P0441.2  Provincial Gross Domestic Product(2024).zip, Tables 2-10, block c</t>
        </is>
      </c>
      <c r="E19" s="197" t="inlineStr">
        <is>
          <t>on manish-branch (external/data/raw/statssa/)</t>
        </is>
      </c>
      <c r="F19" s="197" t="inlineStr">
        <is>
          <t>assumptions/2026/timeseries/gdp_by_province_statssa.csv</t>
        </is>
      </c>
      <c r="G19" s="197" t="inlineStr">
        <is>
          <t>python -m lfm.scripts.fetch_economy --vintage 2026</t>
        </is>
      </c>
      <c r="H19" s="197" t="inlineStr">
        <is>
          <t>2013-2024</t>
        </is>
      </c>
      <c r="I19" s="197" t="inlineStr">
        <is>
          <t>Annual, 2013-2024. Economic activity by province, not fuel litres.</t>
        </is>
      </c>
    </row>
    <row r="20">
      <c r="A20" s="197" t="inlineStr">
        <is>
          <t>Diesel by use and Power fleet: power generation</t>
        </is>
      </c>
      <c r="B20" s="197" t="inlineStr">
        <is>
          <t>Eskom integrated reports</t>
        </is>
      </c>
      <c r="C20" s="197" t="inlineStr">
        <is>
          <t>https://www.eskom.co.za/investors/integrated-results/</t>
        </is>
      </c>
      <c r="D20" s="197" t="inlineStr">
        <is>
          <t>integrated report PDFs, years to March 2022-2026</t>
        </is>
      </c>
      <c r="E20" s="197" t="inlineStr">
        <is>
          <t>local to Manish and Nigel; not on main</t>
        </is>
      </c>
      <c r="F20" s="197" t="inlineStr">
        <is>
          <t>assumptions/2026/timeseries/ocgt_generation_eskom.csv</t>
        </is>
      </c>
      <c r="G20" s="197" t="inlineStr">
        <is>
          <t>python -m lfm.scripts.fetch_eskom --vintage 2026</t>
        </is>
      </c>
      <c r="H20" s="197" t="inlineStr">
        <is>
          <t>2022-2026</t>
        </is>
      </c>
      <c r="I20" s="197" t="inlineStr">
        <is>
          <t>GWh for financial years; diesel litres not reported in the extract.</t>
        </is>
      </c>
    </row>
    <row r="21">
      <c r="A21" s="197" t="inlineStr">
        <is>
          <t>Power fleet: stations, capacities and retirement dates</t>
        </is>
      </c>
      <c r="B21" s="197" t="inlineStr">
        <is>
          <t>Eskom; press reports</t>
        </is>
      </c>
      <c r="C21" s="197" t="inlineStr">
        <is>
          <t>https://www.eskom.co.za/eskom-divisions/gx/peaking-power-stations/</t>
        </is>
      </c>
      <c r="D21" s="197" t="inlineStr">
        <is>
          <t>eskom-gx0001-generation-plant-mix-rev29.pdf</t>
        </is>
      </c>
      <c r="E21" s="197" t="inlineStr">
        <is>
          <t>on manish-branch (external/data/raw/eskom/)</t>
        </is>
      </c>
      <c r="F21" s="197" t="inlineStr">
        <is>
          <t>assumptions/2026/infrastructure/power_fleet_diesel.csv</t>
        </is>
      </c>
      <c r="G21" s="197" t="inlineStr">
        <is>
          <t>none</t>
        </is>
      </c>
      <c r="H21" s="197" t="inlineStr">
        <is>
          <t>-</t>
        </is>
      </c>
      <c r="I21" s="197" t="inlineStr">
        <is>
          <t>Diesel peaking stations and coal stations being retired, with capacities and dates. Three rows are marked to confirm.</t>
        </is>
      </c>
    </row>
    <row r="22">
      <c r="A22" s="197" t="inlineStr">
        <is>
          <t>Diesel by use: the 0.31 litres per kWh factor</t>
        </is>
      </c>
      <c r="B22" s="197" t="inlineStr">
        <is>
          <t>Parliament (replies by the Ministers of Public Enterprises and of Electricity and Energy)</t>
        </is>
      </c>
      <c r="C22" s="197" t="inlineStr">
        <is>
          <t>https://pmg.org.za/committee-question/30686/</t>
        </is>
      </c>
      <c r="D22" s="197" t="inlineStr">
        <is>
          <t>reply NW1980 (2025); press reports for 2022 and 2023</t>
        </is>
      </c>
      <c r="E22" s="197" t="inlineStr">
        <is>
          <t>by link only</t>
        </is>
      </c>
      <c r="F22" s="197" t="inlineStr">
        <is>
          <t>assumptions/2026/reference/ocgt_diesel_burn_reported.csv</t>
        </is>
      </c>
      <c r="G22" s="197" t="inlineStr">
        <is>
          <t>none</t>
        </is>
      </c>
      <c r="H22" s="197" t="inlineStr">
        <is>
          <t>2022-2025</t>
        </is>
      </c>
      <c r="I22" s="197" t="inlineStr">
        <is>
          <t>Three years; none for the year to March 2024. Implies 0.31 litres per kWh; not adopted in the model.</t>
        </is>
      </c>
    </row>
    <row r="23">
      <c r="A23" s="197" t="inlineStr">
        <is>
          <t>Diesel by use: price used to convert road freight fuel spending to litres</t>
        </is>
      </c>
      <c r="B23" s="197" t="inlineStr">
        <is>
          <t>Department of Mineral and Petroleum Resources (energy department)</t>
        </is>
      </c>
      <c r="C23" s="197" t="inlineStr">
        <is>
          <t>https://www.dmpr.gov.za/Portals/0/Energy_Website/files/media/</t>
        </is>
      </c>
      <c r="D23" s="197" t="inlineStr">
        <is>
          <t>fuel-price-history-&lt;year&gt;.pdf, 2011-2025; price-breakdown-&lt;year&gt;-&lt;month&gt;.pdf to February 2026; cef-daily-&lt;date&gt;.pdf from February 2026 (Central Energy Fund)</t>
        </is>
      </c>
      <c r="E23" s="197" t="inlineStr">
        <is>
          <t>local to Manish and Nigel; not on main</t>
        </is>
      </c>
      <c r="F23" s="197" t="inlineStr">
        <is>
          <t>assumptions/2026/timeseries/fuel_prices_department.csv</t>
        </is>
      </c>
      <c r="G23" s="197" t="inlineStr">
        <is>
          <t>python -m lfm.scripts.fetch_energy_dept --vintage 2026</t>
        </is>
      </c>
      <c r="H23" s="197" t="inlineStr">
        <is>
          <t>2011-01-2026-10</t>
        </is>
      </c>
      <c r="I23" s="197" t="inlineStr">
        <is>
          <t>Runs to October 2026. Department to February 2026, then CEF daily sheets, which give inland prices only: coastal diesel has no value from December 2025, coastal petrol and paraffin none from March 2026.</t>
        </is>
      </c>
    </row>
    <row r="24">
      <c r="A24" s="197" t="inlineStr">
        <is>
          <t>Diesel by use and Vehicle history: vehicle classes, distance and fuel use</t>
        </is>
      </c>
      <c r="B24" s="197" t="inlineStr">
        <is>
          <t>Stone, Merven, Maseela and Moonsamy (2018), J. Energy in Southern Africa 29(2), and supplement</t>
        </is>
      </c>
      <c r="C24" s="197" t="inlineStr">
        <is>
          <t>https://www.scielo.org.za/pdf/jesa/v29n2/06.pdf</t>
        </is>
      </c>
      <c r="D24" s="197" t="inlineStr">
        <is>
          <t>stone-2018-vehicle-parc-model-jesa-29-2.pdf; stone-2018-supplementary.pdf</t>
        </is>
      </c>
      <c r="E24" s="197" t="inlineStr">
        <is>
          <t>on manish-branch (external/data/raw/literature/)</t>
        </is>
      </c>
      <c r="F24" s="197" t="inlineStr">
        <is>
          <t>assumptions/2026/reference/vehicle_parameters_stone2018.csv</t>
        </is>
      </c>
      <c r="G24" s="197" t="inlineStr">
        <is>
          <t>none</t>
        </is>
      </c>
      <c r="H24" s="197" t="inlineStr">
        <is>
          <t>-</t>
        </is>
      </c>
      <c r="I24" s="197" t="inlineStr">
        <is>
          <t>Values are for 2014. Transcription not independently re-checked.</t>
        </is>
      </c>
    </row>
    <row r="25">
      <c r="A25" s="197" t="inlineStr">
        <is>
          <t>Vehicle history: registered vehicles by class</t>
        </is>
      </c>
      <c r="B25" s="197" t="inlineStr">
        <is>
          <t>NaTIS (Road Traffic Management Corporation)</t>
        </is>
      </c>
      <c r="C25" s="197" t="inlineStr">
        <is>
          <t>https://www.natis.gov.za/</t>
        </is>
      </c>
      <c r="D25" s="197" t="inlineStr">
        <is>
          <t>monthly live vehicle population PDFs</t>
        </is>
      </c>
      <c r="E25" s="197" t="inlineStr">
        <is>
          <t>local to Manish and Nigel; not on main</t>
        </is>
      </c>
      <c r="F25" s="197" t="inlineStr">
        <is>
          <t>assumptions/2026/timeseries/vehicle_population_natis.csv</t>
        </is>
      </c>
      <c r="G25" s="197" t="inlineStr">
        <is>
          <t>python -m lfm.scripts.fetch_natis --vintage 2026</t>
        </is>
      </c>
      <c r="H25" s="197" t="inlineStr">
        <is>
          <t>2021-02-2026-06</t>
        </is>
      </c>
      <c r="I25" s="197" t="inlineStr">
        <is>
          <t>All fuels together; no petrol/diesel split.</t>
        </is>
      </c>
    </row>
    <row r="26">
      <c r="A26" s="197" t="inlineStr">
        <is>
          <t>Vehicle history: new sales by segment</t>
        </is>
      </c>
      <c r="B26" s="197" t="inlineStr">
        <is>
          <t>naamsa, quarterly review of business conditions</t>
        </is>
      </c>
      <c r="C26" s="197" t="inlineStr">
        <is>
          <t>https://naamsa.net/quarterly-reviews/</t>
        </is>
      </c>
      <c r="D26" s="197" t="inlineStr">
        <is>
          <t>quarterly review PDFs</t>
        </is>
      </c>
      <c r="E26" s="197" t="inlineStr">
        <is>
          <t>local to Manish and Nigel; not on main</t>
        </is>
      </c>
      <c r="F26" s="197" t="inlineStr">
        <is>
          <t>assumptions/2026/timeseries/new_vehicle_market_naamsa.csv</t>
        </is>
      </c>
      <c r="G26" s="197" t="inlineStr">
        <is>
          <t>python -m lfm.scripts.fetch_naamsa --vintage 2026</t>
        </is>
      </c>
      <c r="H26" s="197" t="inlineStr">
        <is>
          <t>2015-2027</t>
        </is>
      </c>
      <c r="I26" s="197" t="inlineStr">
        <is>
          <t>2026-2027 are naamsa's own outlook, not observations.</t>
        </is>
      </c>
    </row>
    <row r="27">
      <c r="A27" s="197" t="inlineStr">
        <is>
          <t>Vehicle history: electrified new sales</t>
        </is>
      </c>
      <c r="B27" s="197" t="inlineStr">
        <is>
          <t>naamsa, quarterly review of business conditions</t>
        </is>
      </c>
      <c r="C27" s="197" t="inlineStr">
        <is>
          <t>https://naamsa.net/quarterly-reviews/</t>
        </is>
      </c>
      <c r="D27" s="197" t="inlineStr">
        <is>
          <t>quarterly review PDFs</t>
        </is>
      </c>
      <c r="E27" s="197" t="inlineStr">
        <is>
          <t>local to Manish and Nigel; not on main</t>
        </is>
      </c>
      <c r="F27" s="197" t="inlineStr">
        <is>
          <t>assumptions/2026/timeseries/nev_sales_naamsa.csv</t>
        </is>
      </c>
      <c r="G27" s="197" t="inlineStr">
        <is>
          <t>python -m lfm.scripts.fetch_naamsa --vintage 2026</t>
        </is>
      </c>
      <c r="H27" s="197" t="inlineStr">
        <is>
          <t>2019-2025</t>
        </is>
      </c>
      <c r="I27" s="197" t="inlineStr">
        <is>
          <t>New sales, not fleet. Audit logged parser warnings on the 5 October refresh.</t>
        </is>
      </c>
    </row>
    <row r="28">
      <c r="A28" s="197" t="inlineStr">
        <is>
          <t>Vehicle history: fuel split of the registered fleet</t>
        </is>
      </c>
      <c r="B28" s="197" t="inlineStr">
        <is>
          <t>Department of Transport, Transport Statistics Bulletin 2023, Table 2.8 (source: RTMC)</t>
        </is>
      </c>
      <c r="C28" s="197" t="inlineStr">
        <is>
          <t>https://www.transport.gov.za/wp-content/uploads/2023/02/Transport-Statistics-Bulletin-2023.pdf</t>
        </is>
      </c>
      <c r="D28" s="197" t="inlineStr">
        <is>
          <t>dot-transport-statistics-bulletin-2023.pdf, p.40</t>
        </is>
      </c>
      <c r="E28" s="197" t="inlineStr">
        <is>
          <t>on manish-branch (external/data/raw/literature/)</t>
        </is>
      </c>
      <c r="F28" s="197" t="inlineStr">
        <is>
          <t>assumptions/2026/reference/vehicle_population_by_fuel_dot2023.csv</t>
        </is>
      </c>
      <c r="G28" s="197" t="inlineStr">
        <is>
          <t>none</t>
        </is>
      </c>
      <c r="H28" s="197" t="inlineStr">
        <is>
          <t>2023-12-2023-12</t>
        </is>
      </c>
      <c r="I28" s="197" t="inlineStr">
        <is>
          <t>One date only (December 2023). No later edition found.</t>
        </is>
      </c>
    </row>
    <row r="29">
      <c r="A29" s="197" t="inlineStr">
        <is>
          <t>Diesel by use: fuel bought by road freight businesses</t>
        </is>
      </c>
      <c r="B29" s="197" t="inlineStr">
        <is>
          <t>Statistics South Africa</t>
        </is>
      </c>
      <c r="C29" s="197" t="inlineStr">
        <is>
          <t>https://www.statssa.gov.za/?page_id=1854&amp;PPN=Report-71-02-01</t>
        </is>
      </c>
      <c r="D29" s="197" t="inlineStr">
        <is>
          <t>Report-71-02-012023.pdf, Table 20 (p.33)</t>
        </is>
      </c>
      <c r="E29" s="197" t="inlineStr">
        <is>
          <t>on manish-branch (external/data/raw/statssa/statssa-transport-and-storage-industry-2023.pdf)</t>
        </is>
      </c>
      <c r="F29" s="197" t="inlineStr">
        <is>
          <t>typed into build_demand_baseline_workbook.py (ROAD_FREIGHT_FUEL_RAND)</t>
        </is>
      </c>
      <c r="G29" s="197" t="inlineStr">
        <is>
          <t>none</t>
        </is>
      </c>
      <c r="H29" s="197" t="inlineStr">
        <is>
          <t>2019, 2023</t>
        </is>
      </c>
      <c r="I29" s="197" t="inlineStr">
        <is>
          <t>Hire-and-reward operators only; 2023 preliminary</t>
        </is>
      </c>
    </row>
    <row r="30">
      <c r="A30" s="197" t="inlineStr">
        <is>
          <t>Diesel by use: land freight share of diesel</t>
        </is>
      </c>
      <c r="B30" s="197" t="inlineStr">
        <is>
          <t>Merven, Hartley and Ahjum (2019), SA-TIED Working Paper 60</t>
        </is>
      </c>
      <c r="C30" s="197" t="inlineStr">
        <is>
          <t>https://sa-tied.wider.unu.edu/sites/default/files/pdf/SATIED_WP60_Merven_Hartley_Ahjum_April_2019.pdf</t>
        </is>
      </c>
      <c r="D30" s="197" t="inlineStr">
        <is>
          <t>p.10</t>
        </is>
      </c>
      <c r="E30" s="197" t="inlineStr">
        <is>
          <t>on manish-branch (external/data/raw/literature/)</t>
        </is>
      </c>
      <c r="F30" s="197" t="inlineStr">
        <is>
          <t>quoted on the sheet</t>
        </is>
      </c>
      <c r="G30" s="197" t="inlineStr">
        <is>
          <t>none</t>
        </is>
      </c>
      <c r="H30" s="197" t="inlineStr">
        <is>
          <t>2012</t>
        </is>
      </c>
      <c r="I30" s="197" t="inlineStr">
        <is>
          <t>Modelled; same research group as the vehicle study</t>
        </is>
      </c>
    </row>
    <row r="31">
      <c r="A31" s="197" t="inlineStr">
        <is>
          <t>Vehicle history and Diesel by use: the model's settings</t>
        </is>
      </c>
      <c r="B31" s="197" t="inlineStr">
        <is>
          <t>AIA (Reatile workbook, March 2025)</t>
        </is>
      </c>
      <c r="C31" s="197" t="inlineStr"/>
      <c r="D31" s="197" t="inlineStr">
        <is>
          <t>assumptions/2026/vehicles.yaml</t>
        </is>
      </c>
      <c r="E31" s="197" t="inlineStr">
        <is>
          <t>in the repository</t>
        </is>
      </c>
      <c r="F31" s="197" t="inlineStr">
        <is>
          <t>assumptions/2026/vehicles.yaml</t>
        </is>
      </c>
      <c r="G31" s="197" t="inlineStr">
        <is>
          <t>none</t>
        </is>
      </c>
      <c r="H31" s="197" t="inlineStr"/>
      <c r="I31" s="197" t="inlineStr">
        <is>
          <t>Placeholders without a published source</t>
        </is>
      </c>
    </row>
    <row r="32">
      <c r="A32" s="197" t="inlineStr">
        <is>
          <t>HML response</t>
        </is>
      </c>
      <c r="B32" s="197" t="inlineStr">
        <is>
          <t>AIA (analyst), from the sources named in each row</t>
        </is>
      </c>
      <c r="C32" s="197" t="inlineStr"/>
      <c r="D32" s="197" t="inlineStr">
        <is>
          <t>workstreams/WS2_model_development/fuel_lever_response_2026-10-07.csv</t>
        </is>
      </c>
      <c r="E32" s="197" t="inlineStr">
        <is>
          <t>in the repository</t>
        </is>
      </c>
      <c r="F32" s="197" t="inlineStr">
        <is>
          <t>same file</t>
        </is>
      </c>
      <c r="G32" s="197" t="inlineStr">
        <is>
          <t>python -m lfm.scripts.build_fuel_lever_response --vintage 2026</t>
        </is>
      </c>
      <c r="H32" s="197" t="inlineStr">
        <is>
          <t>2030, 2035</t>
        </is>
      </c>
      <c r="I32" s="197"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2026-10-08T16:25:14Z</dcterms:created>
  <dcterms:modified xmlns:dcterms="http://purl.org/dc/terms/" xmlns:xsi="http://www.w3.org/2001/XMLSchema-instance" xsi:type="dcterms:W3CDTF">2026-10-08T16:25:16Z</dcterms:modified>
</cp:coreProperties>
</file>