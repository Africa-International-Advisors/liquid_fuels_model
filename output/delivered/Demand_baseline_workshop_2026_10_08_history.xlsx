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73" t="n">
        <v>10</v>
      </c>
      <c r="E7" s="162" t="inlineStr">
        <is>
          <t>Diesel as the backup fuel of a station whose main fuel is gas.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75" t="n"/>
      <c r="E39" s="162" t="inlineStr">
        <is>
          <t>Each to the last full year of its agreement (Dedisa 2029, Avon 2030), then zero.</t>
        </is>
      </c>
      <c r="F39" s="175" t="n">
        <v>1005</v>
      </c>
      <c r="G39" s="175" t="n">
        <v>1005</v>
      </c>
      <c r="H39" s="175" t="n">
        <v>1005</v>
      </c>
      <c r="I39" s="175" t="n">
        <v>1005</v>
      </c>
      <c r="J39" s="175" t="n">
        <v>1005</v>
      </c>
      <c r="K39" s="175" t="n">
        <v>1005</v>
      </c>
      <c r="L39" s="175" t="n">
        <v>1005</v>
      </c>
      <c r="M39" s="175" t="n">
        <v>1005</v>
      </c>
      <c r="N39" s="175" t="n">
        <v>670</v>
      </c>
      <c r="O39" s="175" t="n">
        <v>0</v>
      </c>
      <c r="P39" s="175" t="n">
        <v>0</v>
      </c>
      <c r="Q39" s="175" t="n">
        <v>0</v>
      </c>
      <c r="R39" s="175" t="n">
        <v>0</v>
      </c>
      <c r="S39" s="175"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73" t="n"/>
      <c r="E40" s="162" t="inlineStr">
        <is>
          <t>100% until Eskom's stated gas switch in December 2027, then the backup share.</t>
        </is>
      </c>
      <c r="F40" s="173">
        <f>100</f>
        <v/>
      </c>
      <c r="G40" s="173">
        <f>100</f>
        <v/>
      </c>
      <c r="H40" s="173">
        <f>100</f>
        <v/>
      </c>
      <c r="I40" s="173">
        <f>100</f>
        <v/>
      </c>
      <c r="J40" s="173">
        <f>100</f>
        <v/>
      </c>
      <c r="K40" s="173">
        <f>100</f>
        <v/>
      </c>
      <c r="L40" s="173">
        <f>$D$7</f>
        <v/>
      </c>
      <c r="M40" s="173">
        <f>$D$7</f>
        <v/>
      </c>
      <c r="N40" s="173">
        <f>$D$7</f>
        <v/>
      </c>
      <c r="O40" s="173">
        <f>$D$7</f>
        <v/>
      </c>
      <c r="P40" s="173">
        <f>$D$7</f>
        <v/>
      </c>
      <c r="Q40" s="173">
        <f>$D$7</f>
        <v/>
      </c>
      <c r="R40" s="173">
        <f>$D$7</f>
        <v/>
      </c>
      <c r="S40" s="173">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75" t="n"/>
      <c r="E41" s="162" t="inlineStr">
        <is>
          <t>From 2030, when Camden, Grootvlei, Hendrina, Arnot and Kriel are due to stop. Which sites, and how large, is not decided; the national gas requirement is used as a stand-in.</t>
        </is>
      </c>
      <c r="F41" s="175" t="n">
        <v>0</v>
      </c>
      <c r="G41" s="175" t="n">
        <v>0</v>
      </c>
      <c r="H41" s="175" t="n">
        <v>0</v>
      </c>
      <c r="I41" s="175" t="n">
        <v>0</v>
      </c>
      <c r="J41" s="175" t="n">
        <v>0</v>
      </c>
      <c r="K41" s="175" t="n">
        <v>0</v>
      </c>
      <c r="L41" s="175" t="n">
        <v>0</v>
      </c>
      <c r="M41" s="175" t="n">
        <v>0</v>
      </c>
      <c r="N41" s="175" t="n">
        <v>0</v>
      </c>
      <c r="O41" s="175" t="n">
        <v>0</v>
      </c>
      <c r="P41" s="175" t="n">
        <v>0</v>
      </c>
      <c r="Q41" s="175" t="n">
        <v>0</v>
      </c>
      <c r="R41" s="175" t="n">
        <v>0</v>
      </c>
      <c r="S41" s="175"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75" t="n"/>
      <c r="E47" s="162" t="inlineStr">
        <is>
          <t>Both stations to 2035.</t>
        </is>
      </c>
      <c r="F47" s="175" t="n">
        <v>1005</v>
      </c>
      <c r="G47" s="175" t="n">
        <v>1005</v>
      </c>
      <c r="H47" s="175" t="n">
        <v>1005</v>
      </c>
      <c r="I47" s="175" t="n">
        <v>1005</v>
      </c>
      <c r="J47" s="175" t="n">
        <v>1005</v>
      </c>
      <c r="K47" s="175" t="n">
        <v>1005</v>
      </c>
      <c r="L47" s="175" t="n">
        <v>1005</v>
      </c>
      <c r="M47" s="175" t="n">
        <v>1005</v>
      </c>
      <c r="N47" s="175" t="n">
        <v>1005</v>
      </c>
      <c r="O47" s="175" t="n">
        <v>1005</v>
      </c>
      <c r="P47" s="175" t="n">
        <v>1005</v>
      </c>
      <c r="Q47" s="175" t="n">
        <v>1005</v>
      </c>
      <c r="R47" s="175" t="n">
        <v>1005</v>
      </c>
      <c r="S47" s="175"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73" t="n"/>
      <c r="E48" s="162" t="inlineStr">
        <is>
          <t>100% until Eskom's stated gas switch in December 2027, then the backup share.</t>
        </is>
      </c>
      <c r="F48" s="173">
        <f>100</f>
        <v/>
      </c>
      <c r="G48" s="173">
        <f>100</f>
        <v/>
      </c>
      <c r="H48" s="173">
        <f>100</f>
        <v/>
      </c>
      <c r="I48" s="173">
        <f>100</f>
        <v/>
      </c>
      <c r="J48" s="173">
        <f>100</f>
        <v/>
      </c>
      <c r="K48" s="173">
        <f>100</f>
        <v/>
      </c>
      <c r="L48" s="173">
        <f>$D$7</f>
        <v/>
      </c>
      <c r="M48" s="173">
        <f>$D$7</f>
        <v/>
      </c>
      <c r="N48" s="173">
        <f>$D$7</f>
        <v/>
      </c>
      <c r="O48" s="173">
        <f>$D$7</f>
        <v/>
      </c>
      <c r="P48" s="173">
        <f>$D$7</f>
        <v/>
      </c>
      <c r="Q48" s="173">
        <f>$D$7</f>
        <v/>
      </c>
      <c r="R48" s="173">
        <f>$D$7</f>
        <v/>
      </c>
      <c r="S48" s="173">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75" t="n"/>
      <c r="E49" s="162" t="inlineStr">
        <is>
          <t>From 2030, when Camden, Grootvlei, Hendrina, Arnot and Kriel are due to stop. Which sites, and how large, is not decided; the national gas requirement is used as a stand-in.</t>
        </is>
      </c>
      <c r="F49" s="175" t="n">
        <v>0</v>
      </c>
      <c r="G49" s="175" t="n">
        <v>0</v>
      </c>
      <c r="H49" s="175" t="n">
        <v>0</v>
      </c>
      <c r="I49" s="175" t="n">
        <v>0</v>
      </c>
      <c r="J49" s="175" t="n">
        <v>0</v>
      </c>
      <c r="K49" s="175" t="n">
        <v>0</v>
      </c>
      <c r="L49" s="175" t="n">
        <v>0</v>
      </c>
      <c r="M49" s="175" t="n">
        <v>0</v>
      </c>
      <c r="N49" s="175" t="n">
        <v>3000</v>
      </c>
      <c r="O49" s="175" t="n">
        <v>3000</v>
      </c>
      <c r="P49" s="175" t="n">
        <v>3000</v>
      </c>
      <c r="Q49" s="175" t="n">
        <v>3000</v>
      </c>
      <c r="R49" s="175" t="n">
        <v>3000</v>
      </c>
      <c r="S49" s="175"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75" t="n"/>
      <c r="E55" s="162" t="inlineStr">
        <is>
          <t>Both stations to 2035.</t>
        </is>
      </c>
      <c r="F55" s="175" t="n">
        <v>1005</v>
      </c>
      <c r="G55" s="175" t="n">
        <v>1005</v>
      </c>
      <c r="H55" s="175" t="n">
        <v>1005</v>
      </c>
      <c r="I55" s="175" t="n">
        <v>1005</v>
      </c>
      <c r="J55" s="175" t="n">
        <v>1005</v>
      </c>
      <c r="K55" s="175" t="n">
        <v>1005</v>
      </c>
      <c r="L55" s="175" t="n">
        <v>1005</v>
      </c>
      <c r="M55" s="175" t="n">
        <v>1005</v>
      </c>
      <c r="N55" s="175" t="n">
        <v>1005</v>
      </c>
      <c r="O55" s="175" t="n">
        <v>1005</v>
      </c>
      <c r="P55" s="175" t="n">
        <v>1005</v>
      </c>
      <c r="Q55" s="175" t="n">
        <v>1005</v>
      </c>
      <c r="R55" s="175" t="n">
        <v>1005</v>
      </c>
      <c r="S55" s="175"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73" t="n"/>
      <c r="E56" s="162" t="inlineStr">
        <is>
          <t>100% throughout: the gas supply does not arrive.</t>
        </is>
      </c>
      <c r="F56" s="173">
        <f>100</f>
        <v/>
      </c>
      <c r="G56" s="173">
        <f>100</f>
        <v/>
      </c>
      <c r="H56" s="173">
        <f>100</f>
        <v/>
      </c>
      <c r="I56" s="173">
        <f>100</f>
        <v/>
      </c>
      <c r="J56" s="173">
        <f>100</f>
        <v/>
      </c>
      <c r="K56" s="173">
        <f>100</f>
        <v/>
      </c>
      <c r="L56" s="173">
        <f>100</f>
        <v/>
      </c>
      <c r="M56" s="173">
        <f>100</f>
        <v/>
      </c>
      <c r="N56" s="173">
        <f>100</f>
        <v/>
      </c>
      <c r="O56" s="173">
        <f>100</f>
        <v/>
      </c>
      <c r="P56" s="173">
        <f>100</f>
        <v/>
      </c>
      <c r="Q56" s="173">
        <f>100</f>
        <v/>
      </c>
      <c r="R56" s="173">
        <f>100</f>
        <v/>
      </c>
      <c r="S56" s="173">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75" t="n"/>
      <c r="E57" s="162" t="inlineStr">
        <is>
          <t>From 2030, when Camden, Grootvlei, Hendrina, Arnot and Kriel are due to stop. Which sites, and how large, is not decided; the national gas requirement is used as a stand-in.</t>
        </is>
      </c>
      <c r="F57" s="175" t="n">
        <v>0</v>
      </c>
      <c r="G57" s="175" t="n">
        <v>0</v>
      </c>
      <c r="H57" s="175" t="n">
        <v>0</v>
      </c>
      <c r="I57" s="175" t="n">
        <v>0</v>
      </c>
      <c r="J57" s="175" t="n">
        <v>0</v>
      </c>
      <c r="K57" s="175" t="n">
        <v>0</v>
      </c>
      <c r="L57" s="175" t="n">
        <v>0</v>
      </c>
      <c r="M57" s="175" t="n">
        <v>0</v>
      </c>
      <c r="N57" s="175" t="n">
        <v>6000</v>
      </c>
      <c r="O57" s="175" t="n">
        <v>6000</v>
      </c>
      <c r="P57" s="175" t="n">
        <v>6000</v>
      </c>
      <c r="Q57" s="175" t="n">
        <v>6000</v>
      </c>
      <c r="R57" s="175" t="n">
        <v>6000</v>
      </c>
      <c r="S57" s="175"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No sales after 2023; no production after 2021 (the last energy balance); no stock series.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estimated with the best of six methods back-tested; 2024 blank (no national total).</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refinery output reported to JODI (comparison only, not used)</t>
        </is>
      </c>
      <c r="B11" s="176" t="inlineStr">
        <is>
          <t>JODI oil database (South Africa's submissions)</t>
        </is>
      </c>
      <c r="C11" s="176" t="inlineStr">
        <is>
          <t>https://www.jodidata.org/oil/database/data-downloads.aspx</t>
        </is>
      </c>
      <c r="D11" s="176" t="inlineStr">
        <is>
          <t>jodi-secondary-zaf-2017-2022.csv; jodi-secondary-zaf-2023-2025.csv</t>
        </is>
      </c>
      <c r="E11" s="176" t="inlineStr">
        <is>
          <t>on manish-branch (external/data/raw/jodi/)</t>
        </is>
      </c>
      <c r="F11" s="176" t="inlineStr">
        <is>
          <t>assumptions/2026/timeseries/oil_balance_jodi.csv</t>
        </is>
      </c>
      <c r="G11" s="176" t="inlineStr">
        <is>
          <t>python -m lfm.scripts.stage_jodi --vintage 2026</t>
        </is>
      </c>
      <c r="H11" s="176" t="inlineStr">
        <is>
          <t>2017-2024</t>
        </is>
      </c>
      <c r="I11" s="176" t="inlineStr">
        <is>
          <t>Lowest JODI assessment code throughout. Diesel refinery output agrees with the energy balance within 4% for 2017-2021; petrol is 12-24% higher. Imports, demand and stocks are not usable.</t>
        </is>
      </c>
    </row>
    <row r="12">
      <c r="A12" s="176" t="inlineStr">
        <is>
          <t>History section 3: operators' reported output</t>
        </is>
      </c>
      <c r="B12" s="176" t="inlineStr">
        <is>
          <t>Sasol (production and sales metrics); Glencore (annual reports)</t>
        </is>
      </c>
      <c r="C12" s="176" t="inlineStr">
        <is>
          <t>https://www.sasol.com/</t>
        </is>
      </c>
      <c r="D12" s="176" t="inlineStr">
        <is>
          <t>sasol-metrics-fy2022/2025/2026.pdf, p.4; GLEN-2023/2024/2025-Annual-Report.pdf</t>
        </is>
      </c>
      <c r="E12" s="176" t="inlineStr">
        <is>
          <t>Sasol files on manish-branch (external/data/raw/sasol/); Glencore reports by link only</t>
        </is>
      </c>
      <c r="F12" s="176" t="inlineStr">
        <is>
          <t>assumptions/2026/reference/refinery_output_operators.csv</t>
        </is>
      </c>
      <c r="G12" s="176" t="inlineStr">
        <is>
          <t>none</t>
        </is>
      </c>
      <c r="H12" s="176" t="inlineStr">
        <is>
          <t>2020-2026</t>
        </is>
      </c>
      <c r="I12" s="176" t="inlineStr">
        <is>
          <t>All refined products, no product split; fiscal and calendar years; Astron as energy content.</t>
        </is>
      </c>
    </row>
    <row r="13">
      <c r="A13" s="176" t="inlineStr">
        <is>
          <t>History section 5: litres levied</t>
        </is>
      </c>
      <c r="B13" s="176" t="inlineStr">
        <is>
          <t>Road Accident Fund</t>
        </is>
      </c>
      <c r="C13" s="176" t="inlineStr">
        <is>
          <t>https://static.pmg.org.za/RAF_Annual_Report_2025.pdf</t>
        </is>
      </c>
      <c r="D13" s="176" t="inlineStr">
        <is>
          <t>raf-annual-report-2024-25.pdf, note 16 (p.183)</t>
        </is>
      </c>
      <c r="E13" s="176" t="inlineStr">
        <is>
          <t>on manish-branch (external/data/raw/raf/)</t>
        </is>
      </c>
      <c r="F13" s="176" t="inlineStr">
        <is>
          <t>assumptions/2026/reference/fuel_levy_revenue_raf.csv</t>
        </is>
      </c>
      <c r="G13" s="176" t="inlineStr">
        <is>
          <t>none</t>
        </is>
      </c>
      <c r="H13" s="176" t="inlineStr">
        <is>
          <t>2024-2025</t>
        </is>
      </c>
      <c r="I13" s="176" t="inlineStr">
        <is>
          <t>Gross levies and diesel rebate in rand; litres derived in the balance note. Fiscal years; petrol and diesel together.</t>
        </is>
      </c>
    </row>
    <row r="14">
      <c r="A14" s="176" t="inlineStr">
        <is>
          <t>Sector history: mining and manufacturing volume indices</t>
        </is>
      </c>
      <c r="B14" s="176" t="inlineStr">
        <is>
          <t>Statistics South Africa (P2041 mining, P3041.2 manufacturing, P7162 land transport, P0141 CPI)</t>
        </is>
      </c>
      <c r="C14" s="176" t="inlineStr">
        <is>
          <t>https://www.statssa.gov.za/?page_id=1847</t>
        </is>
      </c>
      <c r="D14" s="176" t="inlineStr">
        <is>
          <t>release zips, July and August 2026</t>
        </is>
      </c>
      <c r="E14" s="176" t="inlineStr">
        <is>
          <t>on manish-branch (external/data/raw/statssa/)</t>
        </is>
      </c>
      <c r="F14" s="176" t="inlineStr">
        <is>
          <t>assumptions/2026/timeseries/activity_statssa_monthly.csv</t>
        </is>
      </c>
      <c r="G14" s="176" t="inlineStr">
        <is>
          <t>python -m lfm.scripts.fetch_statssa_monthly --vintage 2026</t>
        </is>
      </c>
      <c r="H14" s="176" t="inlineStr">
        <is>
          <t>1998-01-2026-08</t>
        </is>
      </c>
      <c r="I14" s="176" t="inlineStr">
        <is>
          <t>Activity measures, not fuel volumes. Not seasonally adjusted. Tonnes, not tonne-kilometres.</t>
        </is>
      </c>
    </row>
    <row r="15">
      <c r="A15" s="176" t="inlineStr">
        <is>
          <t>Sector history: agriculture real value added</t>
        </is>
      </c>
      <c r="B15" s="176" t="inlineStr">
        <is>
          <t>Statistics South Africa (P0441 GDP; P0302 mid-year population)</t>
        </is>
      </c>
      <c r="C15" s="176" t="inlineStr">
        <is>
          <t>https://www.statssa.gov.za/?page_id=1854&amp;PPN=P0441</t>
        </is>
      </c>
      <c r="D15" s="176" t="inlineStr">
        <is>
          <t>GDP P0441 - GDP Time series Q2 2026.xlsx (Annual sheet); Country projection ... (2002-2026).xlsx</t>
        </is>
      </c>
      <c r="E15" s="176" t="inlineStr">
        <is>
          <t>on manish-branch (external/data/raw/statssa/)</t>
        </is>
      </c>
      <c r="F15" s="176" t="inlineStr">
        <is>
          <t>assumptions/2026/timeseries/macro_statssa.csv</t>
        </is>
      </c>
      <c r="G15" s="176" t="inlineStr">
        <is>
          <t>python -m lfm.scripts.fetch_economy --vintage 2026</t>
        </is>
      </c>
      <c r="H15" s="176" t="inlineStr">
        <is>
          <t>1993-2050</t>
        </is>
      </c>
      <c r="I15" s="176" t="inlineStr">
        <is>
          <t>Manual placement each release. Years after 2026 are projections, not observations.</t>
        </is>
      </c>
    </row>
    <row r="16">
      <c r="A16" s="176" t="inlineStr">
        <is>
          <t>History section 7: aircraft movements</t>
        </is>
      </c>
      <c r="B16" s="176" t="inlineStr">
        <is>
          <t>Airports Company South Africa</t>
        </is>
      </c>
      <c r="C16" s="176" t="inlineStr">
        <is>
          <t>https://www.airports.co.za/StatisticsLib/</t>
        </is>
      </c>
      <c r="D16" s="176" t="inlineStr">
        <is>
          <t>derived from the monthly file</t>
        </is>
      </c>
      <c r="E16" s="176" t="inlineStr">
        <is>
          <t>derived</t>
        </is>
      </c>
      <c r="F16" s="176" t="inlineStr">
        <is>
          <t>assumptions/2026/timeseries/air_traffic_acsa_annual.csv</t>
        </is>
      </c>
      <c r="G16" s="176" t="inlineStr">
        <is>
          <t>python -m lfm.scripts.fetch_acsa --vintage 2026</t>
        </is>
      </c>
      <c r="H16" s="176" t="inlineStr">
        <is>
          <t>2013-2025</t>
        </is>
      </c>
      <c r="I16" s="176" t="inlineStr"/>
    </row>
    <row r="17">
      <c r="A17" s="176" t="inlineStr">
        <is>
          <t>History section 6: quarter 1 2023 provincial shares</t>
        </is>
      </c>
      <c r="B17" s="176" t="inlineStr">
        <is>
          <t>Department of Mineral and Petroleum Resources (energy department)</t>
        </is>
      </c>
      <c r="C17" s="176" t="inlineStr">
        <is>
          <t>https://www.dmpr.gov.za/Portals/0/Energy_Website/files/media/SA FUEL SALES VOLUME/</t>
        </is>
      </c>
      <c r="D17" s="176" t="inlineStr">
        <is>
          <t>same workbooks; source_file column names each one</t>
        </is>
      </c>
      <c r="E17" s="176" t="inlineStr">
        <is>
          <t>local to Manish and Nigel; not on main</t>
        </is>
      </c>
      <c r="F17" s="176" t="inlineStr">
        <is>
          <t>assumptions/2026/timeseries/fuel_sales_department_by_province_quarterly.csv</t>
        </is>
      </c>
      <c r="G17" s="176" t="inlineStr">
        <is>
          <t>python -m lfm.scripts.fetch_energy_dept --vintage 2026</t>
        </is>
      </c>
      <c r="H17" s="176" t="inlineStr">
        <is>
          <t>2013-Q1-2023-Q1</t>
        </is>
      </c>
      <c r="I17" s="176" t="inlineStr">
        <is>
          <t>26 province/product years have blank quarters in the source (none petrol or diesel).</t>
        </is>
      </c>
    </row>
    <row r="18">
      <c r="A18" s="176" t="inlineStr">
        <is>
          <t>History section 6: provincial GDP used to move the 2024 shares</t>
        </is>
      </c>
      <c r="B18" s="176" t="inlineStr">
        <is>
          <t>Statistics South Africa (P0441.2 Provincial GDP)</t>
        </is>
      </c>
      <c r="C18" s="176" t="inlineStr">
        <is>
          <t>https://www.statssa.gov.za/?page_id=1847</t>
        </is>
      </c>
      <c r="D18" s="176" t="inlineStr">
        <is>
          <t>P0441.2  Provincial Gross Domestic Product(2024).zip, Tables 2-10, block c</t>
        </is>
      </c>
      <c r="E18" s="176" t="inlineStr">
        <is>
          <t>on manish-branch (external/data/raw/statssa/)</t>
        </is>
      </c>
      <c r="F18" s="176" t="inlineStr">
        <is>
          <t>assumptions/2026/timeseries/gdp_by_province_statssa.csv</t>
        </is>
      </c>
      <c r="G18" s="176" t="inlineStr">
        <is>
          <t>python -m lfm.scripts.fetch_economy --vintage 2026</t>
        </is>
      </c>
      <c r="H18" s="176" t="inlineStr">
        <is>
          <t>2013-2024</t>
        </is>
      </c>
      <c r="I18" s="176" t="inlineStr">
        <is>
          <t>Annual, 2013-2024. Economic activity by province, not fuel litres.</t>
        </is>
      </c>
    </row>
    <row r="19">
      <c r="A19" s="176" t="inlineStr">
        <is>
          <t>Diesel by use and Power fleet: power generation</t>
        </is>
      </c>
      <c r="B19" s="176" t="inlineStr">
        <is>
          <t>Eskom integrated reports</t>
        </is>
      </c>
      <c r="C19" s="176" t="inlineStr">
        <is>
          <t>https://www.eskom.co.za/investors/integrated-results/</t>
        </is>
      </c>
      <c r="D19" s="176" t="inlineStr">
        <is>
          <t>integrated report PDFs, years to March 2022-2026</t>
        </is>
      </c>
      <c r="E19" s="176" t="inlineStr">
        <is>
          <t>local to Manish and Nigel; not on main</t>
        </is>
      </c>
      <c r="F19" s="176" t="inlineStr">
        <is>
          <t>assumptions/2026/timeseries/ocgt_generation_eskom.csv</t>
        </is>
      </c>
      <c r="G19" s="176" t="inlineStr">
        <is>
          <t>python -m lfm.scripts.fetch_eskom --vintage 2026</t>
        </is>
      </c>
      <c r="H19" s="176" t="inlineStr">
        <is>
          <t>2022-2026</t>
        </is>
      </c>
      <c r="I19" s="176" t="inlineStr">
        <is>
          <t>GWh for financial years; diesel litres not reported in the extract.</t>
        </is>
      </c>
    </row>
    <row r="20">
      <c r="A20" s="176" t="inlineStr">
        <is>
          <t>Power fleet: stations, capacities and retirement dates</t>
        </is>
      </c>
      <c r="B20" s="176" t="inlineStr">
        <is>
          <t>Eskom; press reports</t>
        </is>
      </c>
      <c r="C20" s="176" t="inlineStr">
        <is>
          <t>https://www.eskom.co.za/eskom-divisions/gx/peaking-power-stations/</t>
        </is>
      </c>
      <c r="D20" s="176" t="inlineStr">
        <is>
          <t>eskom-gx0001-generation-plant-mix-rev29.pdf</t>
        </is>
      </c>
      <c r="E20" s="176" t="inlineStr">
        <is>
          <t>on manish-branch (external/data/raw/eskom/)</t>
        </is>
      </c>
      <c r="F20" s="176" t="inlineStr">
        <is>
          <t>assumptions/2026/infrastructure/power_fleet_diesel.csv</t>
        </is>
      </c>
      <c r="G20" s="176" t="inlineStr">
        <is>
          <t>none</t>
        </is>
      </c>
      <c r="H20" s="176" t="inlineStr">
        <is>
          <t>-</t>
        </is>
      </c>
      <c r="I20" s="176" t="inlineStr">
        <is>
          <t>Diesel peaking stations and coal stations being retired, with capacities and dates. Three rows are marked to confirm.</t>
        </is>
      </c>
    </row>
    <row r="21">
      <c r="A21" s="176" t="inlineStr">
        <is>
          <t>Diesel by use: the 0.31 litres per kWh factor</t>
        </is>
      </c>
      <c r="B21" s="176" t="inlineStr">
        <is>
          <t>Parliament (replies by the Ministers of Public Enterprises and of Electricity and Energy)</t>
        </is>
      </c>
      <c r="C21" s="176" t="inlineStr">
        <is>
          <t>https://pmg.org.za/committee-question/30686/</t>
        </is>
      </c>
      <c r="D21" s="176" t="inlineStr">
        <is>
          <t>reply NW1980 (2025); press reports for 2022 and 2023</t>
        </is>
      </c>
      <c r="E21" s="176" t="inlineStr">
        <is>
          <t>by link only</t>
        </is>
      </c>
      <c r="F21" s="176" t="inlineStr">
        <is>
          <t>assumptions/2026/reference/ocgt_diesel_burn_reported.csv</t>
        </is>
      </c>
      <c r="G21" s="176" t="inlineStr">
        <is>
          <t>none</t>
        </is>
      </c>
      <c r="H21" s="176" t="inlineStr">
        <is>
          <t>2022-2025</t>
        </is>
      </c>
      <c r="I21" s="176" t="inlineStr">
        <is>
          <t>Three years; none for the year to March 2024. Implies 0.31 litres per kWh; not adopted in the model.</t>
        </is>
      </c>
    </row>
    <row r="22">
      <c r="A22" s="176" t="inlineStr">
        <is>
          <t>Diesel by use: price used to convert road freight fuel spending to litres</t>
        </is>
      </c>
      <c r="B22" s="176" t="inlineStr">
        <is>
          <t>Department of Mineral and Petroleum Resources (energy department)</t>
        </is>
      </c>
      <c r="C22" s="176" t="inlineStr">
        <is>
          <t>https://www.dmpr.gov.za/Portals/0/Energy_Website/files/media/</t>
        </is>
      </c>
      <c r="D22" s="176" t="inlineStr">
        <is>
          <t>fuel-price-history-&lt;year&gt;.pdf, 2011-2025; price-breakdown-&lt;year&gt;-&lt;month&gt;.pdf to February 2026; cef-daily-&lt;date&gt;.pdf from February 2026 (Central Energy Fund)</t>
        </is>
      </c>
      <c r="E22" s="176" t="inlineStr">
        <is>
          <t>local to Manish and Nigel; not on main</t>
        </is>
      </c>
      <c r="F22" s="176" t="inlineStr">
        <is>
          <t>assumptions/2026/timeseries/fuel_prices_department.csv</t>
        </is>
      </c>
      <c r="G22" s="176" t="inlineStr">
        <is>
          <t>python -m lfm.scripts.fetch_energy_dept --vintage 2026</t>
        </is>
      </c>
      <c r="H22" s="176" t="inlineStr">
        <is>
          <t>2011-01-2026-10</t>
        </is>
      </c>
      <c r="I22" s="176" t="inlineStr">
        <is>
          <t>Runs to October 2026. Department to February 2026, then CEF daily sheets, which give inland prices only: coastal diesel has no value from December 2025, coastal petrol and paraffin none from March 2026.</t>
        </is>
      </c>
    </row>
    <row r="23">
      <c r="A23" s="176" t="inlineStr">
        <is>
          <t>Diesel by use and Vehicle history: vehicle classes, distance and fuel use</t>
        </is>
      </c>
      <c r="B23" s="176" t="inlineStr">
        <is>
          <t>Stone, Merven, Maseela and Moonsamy (2018), J. Energy in Southern Africa 29(2), and supplement</t>
        </is>
      </c>
      <c r="C23" s="176" t="inlineStr">
        <is>
          <t>https://www.scielo.org.za/pdf/jesa/v29n2/06.pdf</t>
        </is>
      </c>
      <c r="D23" s="176" t="inlineStr">
        <is>
          <t>stone-2018-vehicle-parc-model-jesa-29-2.pdf; stone-2018-supplementary.pdf</t>
        </is>
      </c>
      <c r="E23" s="176" t="inlineStr">
        <is>
          <t>on manish-branch (external/data/raw/literature/)</t>
        </is>
      </c>
      <c r="F23" s="176" t="inlineStr">
        <is>
          <t>assumptions/2026/reference/vehicle_parameters_stone2018.csv</t>
        </is>
      </c>
      <c r="G23" s="176" t="inlineStr">
        <is>
          <t>none</t>
        </is>
      </c>
      <c r="H23" s="176" t="inlineStr">
        <is>
          <t>-</t>
        </is>
      </c>
      <c r="I23" s="176" t="inlineStr">
        <is>
          <t>Values are for 2014. Transcription not independently re-checked.</t>
        </is>
      </c>
    </row>
    <row r="24">
      <c r="A24" s="176" t="inlineStr">
        <is>
          <t>Vehicle history: registered vehicles by class</t>
        </is>
      </c>
      <c r="B24" s="176" t="inlineStr">
        <is>
          <t>NaTIS (Road Traffic Management Corporation)</t>
        </is>
      </c>
      <c r="C24" s="176" t="inlineStr">
        <is>
          <t>https://www.natis.gov.za/</t>
        </is>
      </c>
      <c r="D24" s="176" t="inlineStr">
        <is>
          <t>monthly live vehicle population PDFs</t>
        </is>
      </c>
      <c r="E24" s="176" t="inlineStr">
        <is>
          <t>local to Manish and Nigel; not on main</t>
        </is>
      </c>
      <c r="F24" s="176" t="inlineStr">
        <is>
          <t>assumptions/2026/timeseries/vehicle_population_natis.csv</t>
        </is>
      </c>
      <c r="G24" s="176" t="inlineStr">
        <is>
          <t>python -m lfm.scripts.fetch_natis --vintage 2026</t>
        </is>
      </c>
      <c r="H24" s="176" t="inlineStr">
        <is>
          <t>2021-02-2026-06</t>
        </is>
      </c>
      <c r="I24" s="176" t="inlineStr">
        <is>
          <t>All fuels together; no petrol/diesel split.</t>
        </is>
      </c>
    </row>
    <row r="25">
      <c r="A25" s="176" t="inlineStr">
        <is>
          <t>Vehicle history: new sales by segment</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assumptions/2026/timeseries/new_vehicle_market_naamsa.csv</t>
        </is>
      </c>
      <c r="G25" s="176" t="inlineStr">
        <is>
          <t>python -m lfm.scripts.fetch_naamsa --vintage 2026</t>
        </is>
      </c>
      <c r="H25" s="176" t="inlineStr">
        <is>
          <t>2015-2027</t>
        </is>
      </c>
      <c r="I25" s="176" t="inlineStr">
        <is>
          <t>2026-2027 are naamsa's own outlook, not observations.</t>
        </is>
      </c>
    </row>
    <row r="26">
      <c r="A26" s="176" t="inlineStr">
        <is>
          <t>Vehicle history: electrified new sales</t>
        </is>
      </c>
      <c r="B26" s="176" t="inlineStr">
        <is>
          <t>naamsa, quarterly review of business conditions</t>
        </is>
      </c>
      <c r="C26" s="176" t="inlineStr">
        <is>
          <t>https://naamsa.net/quarterly-reviews/</t>
        </is>
      </c>
      <c r="D26" s="176" t="inlineStr">
        <is>
          <t>quarterly review PDFs</t>
        </is>
      </c>
      <c r="E26" s="176" t="inlineStr">
        <is>
          <t>local to Manish and Nigel; not on main</t>
        </is>
      </c>
      <c r="F26" s="176" t="inlineStr">
        <is>
          <t>assumptions/2026/timeseries/nev_sales_naamsa.csv</t>
        </is>
      </c>
      <c r="G26" s="176" t="inlineStr">
        <is>
          <t>python -m lfm.scripts.fetch_naamsa --vintage 2026</t>
        </is>
      </c>
      <c r="H26" s="176" t="inlineStr">
        <is>
          <t>2019-2025</t>
        </is>
      </c>
      <c r="I26" s="176" t="inlineStr">
        <is>
          <t>New sales, not fleet. Audit logged parser warnings on the 5 October refresh.</t>
        </is>
      </c>
    </row>
    <row r="27">
      <c r="A27" s="176" t="inlineStr">
        <is>
          <t>Vehicle history: fuel split of the registered fleet</t>
        </is>
      </c>
      <c r="B27" s="176" t="inlineStr">
        <is>
          <t>Department of Transport, Transport Statistics Bulletin 2023, Table 2.8 (source: RTMC)</t>
        </is>
      </c>
      <c r="C27" s="176" t="inlineStr">
        <is>
          <t>https://www.transport.gov.za/wp-content/uploads/2023/02/Transport-Statistics-Bulletin-2023.pdf</t>
        </is>
      </c>
      <c r="D27" s="176" t="inlineStr">
        <is>
          <t>dot-transport-statistics-bulletin-2023.pdf, p.40</t>
        </is>
      </c>
      <c r="E27" s="176" t="inlineStr">
        <is>
          <t>on manish-branch (external/data/raw/literature/)</t>
        </is>
      </c>
      <c r="F27" s="176" t="inlineStr">
        <is>
          <t>assumptions/2026/reference/vehicle_population_by_fuel_dot2023.csv</t>
        </is>
      </c>
      <c r="G27" s="176" t="inlineStr">
        <is>
          <t>none</t>
        </is>
      </c>
      <c r="H27" s="176" t="inlineStr">
        <is>
          <t>2023-12-2023-12</t>
        </is>
      </c>
      <c r="I27" s="176" t="inlineStr">
        <is>
          <t>One date only (December 2023). No later edition found.</t>
        </is>
      </c>
    </row>
    <row r="28">
      <c r="A28" s="176" t="inlineStr">
        <is>
          <t>Diesel by use: fuel bought by road freight businesses</t>
        </is>
      </c>
      <c r="B28" s="176" t="inlineStr">
        <is>
          <t>Statistics South Africa</t>
        </is>
      </c>
      <c r="C28" s="176" t="inlineStr">
        <is>
          <t>https://www.statssa.gov.za/?page_id=1854&amp;PPN=Report-71-02-01</t>
        </is>
      </c>
      <c r="D28" s="176" t="inlineStr">
        <is>
          <t>Report-71-02-012023.pdf, Table 20 (p.33)</t>
        </is>
      </c>
      <c r="E28" s="176" t="inlineStr">
        <is>
          <t>on manish-branch (external/data/raw/statssa/statssa-transport-and-storage-industry-2023.pdf)</t>
        </is>
      </c>
      <c r="F28" s="176" t="inlineStr">
        <is>
          <t>typed into build_demand_baseline_workbook.py (ROAD_FREIGHT_FUEL_RAND)</t>
        </is>
      </c>
      <c r="G28" s="176" t="inlineStr">
        <is>
          <t>none</t>
        </is>
      </c>
      <c r="H28" s="176" t="inlineStr">
        <is>
          <t>2019, 2023</t>
        </is>
      </c>
      <c r="I28" s="176" t="inlineStr">
        <is>
          <t>Hire-and-reward operators only; 2023 preliminary</t>
        </is>
      </c>
    </row>
    <row r="29">
      <c r="A29" s="176" t="inlineStr">
        <is>
          <t>Diesel by use: land freight share of diesel</t>
        </is>
      </c>
      <c r="B29" s="176" t="inlineStr">
        <is>
          <t>Merven, Hartley and Ahjum (2019), SA-TIED Working Paper 60</t>
        </is>
      </c>
      <c r="C29" s="176" t="inlineStr">
        <is>
          <t>https://sa-tied.wider.unu.edu/sites/default/files/pdf/SATIED_WP60_Merven_Hartley_Ahjum_April_2019.pdf</t>
        </is>
      </c>
      <c r="D29" s="176" t="inlineStr">
        <is>
          <t>p.10</t>
        </is>
      </c>
      <c r="E29" s="176" t="inlineStr">
        <is>
          <t>on manish-branch (external/data/raw/literature/)</t>
        </is>
      </c>
      <c r="F29" s="176" t="inlineStr">
        <is>
          <t>quoted on the sheet</t>
        </is>
      </c>
      <c r="G29" s="176" t="inlineStr">
        <is>
          <t>none</t>
        </is>
      </c>
      <c r="H29" s="176" t="inlineStr">
        <is>
          <t>2012</t>
        </is>
      </c>
      <c r="I29" s="176" t="inlineStr">
        <is>
          <t>Modelled; same research group as the vehicle study</t>
        </is>
      </c>
    </row>
    <row r="30">
      <c r="A30" s="176" t="inlineStr">
        <is>
          <t>Vehicle history and Diesel by use: the model's settings</t>
        </is>
      </c>
      <c r="B30" s="176" t="inlineStr">
        <is>
          <t>AIA (Reatile workbook, March 2025)</t>
        </is>
      </c>
      <c r="C30" s="176" t="inlineStr"/>
      <c r="D30" s="176" t="inlineStr">
        <is>
          <t>assumptions/2026/vehicles.yaml</t>
        </is>
      </c>
      <c r="E30" s="176" t="inlineStr">
        <is>
          <t>in the repository</t>
        </is>
      </c>
      <c r="F30" s="176" t="inlineStr">
        <is>
          <t>assumptions/2026/vehicles.yaml</t>
        </is>
      </c>
      <c r="G30" s="176" t="inlineStr">
        <is>
          <t>none</t>
        </is>
      </c>
      <c r="H30" s="176" t="inlineStr"/>
      <c r="I30" s="176" t="inlineStr">
        <is>
          <t>Placeholders without a published source</t>
        </is>
      </c>
    </row>
    <row r="31">
      <c r="A31" s="176" t="inlineStr">
        <is>
          <t>HML response</t>
        </is>
      </c>
      <c r="B31" s="176" t="inlineStr">
        <is>
          <t>AIA (analyst), from the sources named in each row</t>
        </is>
      </c>
      <c r="C31" s="176" t="inlineStr"/>
      <c r="D31" s="176" t="inlineStr">
        <is>
          <t>workstreams/WS2_model_development/fuel_lever_response_2026-10-07.csv</t>
        </is>
      </c>
      <c r="E31" s="176" t="inlineStr">
        <is>
          <t>in the repository</t>
        </is>
      </c>
      <c r="F31" s="176" t="inlineStr">
        <is>
          <t>same file</t>
        </is>
      </c>
      <c r="G31" s="176" t="inlineStr">
        <is>
          <t>python -m lfm.scripts.build_fuel_lever_response --vintage 2026</t>
        </is>
      </c>
      <c r="H31" s="176" t="inlineStr">
        <is>
          <t>2030, 2035</t>
        </is>
      </c>
      <c r="I31"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2026-10-08T15:13:19Z</dcterms:created>
  <dcterms:modified xmlns:dcterms="http://purl.org/dc/terms/" xmlns:xsi="http://www.w3.org/2001/XMLSchema-instance" xsi:type="dcterms:W3CDTF">2026-10-08T15:13:21Z</dcterms:modified>
</cp:coreProperties>
</file>