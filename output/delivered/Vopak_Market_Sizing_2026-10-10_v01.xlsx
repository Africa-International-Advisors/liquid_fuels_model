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c8b48982a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ture cases" sheetId="1" r:id="R5641742b73d24bbf"/>
    <x:sheet xmlns:r="http://schemas.openxmlformats.org/officeDocument/2006/relationships" name="Market context" sheetId="2" r:id="R8d83bbf225c0443a"/>
    <x:sheet xmlns:r="http://schemas.openxmlformats.org/officeDocument/2006/relationships" name="Operations" sheetId="3" r:id="R063b9c35d1764233"/>
    <x:sheet xmlns:r="http://schemas.openxmlformats.org/officeDocument/2006/relationships" name="Sources and gaps" sheetId="4" r:id="Re52d27288b5d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#,##0"/>
    <x:numFmt numFmtId="202" formatCode="0.00"/>
    <x:numFmt numFmtId="203" formatCode="0.0%"/>
    <x:numFmt numFmtId="204" formatCode="0%"/>
  </x:numFmts>
  <x:fonts count="6">
    <x:font>
      <x:sz val="11"/>
      <x:name val="Carlito"/>
    </x:font>
    <x:font>
      <x:sz val="10"/>
      <x:color rgb="FF202020"/>
      <x:name val="Arial"/>
    </x:font>
    <x:font>
      <x:b/>
      <x:sz val="16"/>
      <x:color rgb="FF0B2475"/>
      <x:name val="Arial"/>
    </x:font>
    <x:font>
      <x:b/>
      <x:sz val="10"/>
      <x:color rgb="FFFFFFFF"/>
      <x:name val="Arial"/>
    </x:font>
    <x:font>
      <x:sz val="10"/>
      <x:color rgb="FF52606D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2475"/>
      </x:patternFill>
    </x:fill>
    <x:fill>
      <x:patternFill patternType="solid">
        <x:fgColor rgb="FFFFF0CC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1" fontId="1" fillId="3" borderId="0" xfId="0" applyNumberFormat="1" applyFont="1" applyFill="1" applyBorder="1" applyAlignment="1">
      <x:alignment vertical="top"/>
    </x:xf>
    <x:xf numFmtId="201" fontId="5" fillId="3" borderId="0" xfId="0" applyNumberFormat="1" applyFont="1" applyFill="1" applyBorder="1" applyAlignment="1">
      <x:alignment vertical="top"/>
    </x:xf>
    <x:xf numFmtId="202" fontId="1" fillId="3" borderId="0" xfId="0" applyNumberFormat="1" applyFont="1" applyFill="1" applyBorder="1" applyAlignment="1">
      <x:alignment vertical="top"/>
    </x:xf>
    <x:xf numFmtId="202" fontId="5" fillId="3" borderId="0" xfId="0" applyNumberFormat="1" applyFont="1" applyFill="1" applyBorder="1" applyAlignment="1">
      <x:alignment vertical="top"/>
    </x:xf>
    <x:xf numFmtId="201" fontId="5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5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204" fontId="5" fillId="3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e73679d47f4afc" /><Relationship Type="http://schemas.openxmlformats.org/officeDocument/2006/relationships/theme" Target="/xl/theme/theme1.xml" Id="R767d4bfe6ad140f6" /><Relationship Type="http://schemas.openxmlformats.org/officeDocument/2006/relationships/sharedStrings" Target="/xl/sharedStrings.xml" Id="R60dffe25444f400e" /><Relationship Type="http://schemas.openxmlformats.org/officeDocument/2006/relationships/worksheet" Target="/xl/worksheets/sheet1.xml" Id="R5641742b73d24bbf" /><Relationship Type="http://schemas.openxmlformats.org/officeDocument/2006/relationships/worksheet" Target="/xl/worksheets/sheet2.xml" Id="R8d83bbf225c0443a" /><Relationship Type="http://schemas.openxmlformats.org/officeDocument/2006/relationships/worksheet" Target="/xl/worksheets/sheet3.xml" Id="R063b9c35d1764233" /><Relationship Type="http://schemas.openxmlformats.org/officeDocument/2006/relationships/worksheet" Target="/xl/worksheets/sheet4.xml" Id="Re52d27288b5d4f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8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4" hidden="0" customWidth="1"/>
  </x:cols>
  <x:sheetData>
    <x:row r="1" ht="30" customHeight="1">
      <x:c r="A1" s="3" t="str">
        <x:v>Vopak capture sensitivities</x:v>
      </x:c>
      <x:c r="B1" s="2"/>
      <x:c r="C1" s="2"/>
      <x:c r="D1" s="2"/>
      <x:c r="E1" s="2"/>
      <x:c r="F1" s="2"/>
      <x:c r="G1" s="2"/>
      <x:c r="H1" s="2"/>
    </x:row>
    <x:row r="2" ht="40" customHeight="1">
      <x:c r="A2" s="11" t="str">
        <x:v>Illustrative annual volumes using the 2025 Durban import gateway. Yellow cells are editable assumptions. Low/base/high are sensitivity labels, not probabilities.</x:v>
      </x:c>
      <x:c r="B2" s="11"/>
      <x:c r="C2" s="11"/>
      <x:c r="D2" s="11"/>
      <x:c r="E2" s="11"/>
      <x:c r="F2" s="11"/>
      <x:c r="G2" s="11"/>
      <x:c r="H2" s="11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 t="str">
        <x:v>Durban gateway, bn L</x:v>
      </x:c>
      <x:c r="B4" s="7" t="n">
        <x:f>'Market context'!D9</x:f>
        <x:v>13.160515179639999</x:v>
      </x:c>
      <x:c r="C4" s="2"/>
      <x:c r="D4" s="2" t="str">
        <x:v>Onward share to Lesedi</x:v>
      </x:c>
      <x:c r="E4" s="2"/>
      <x:c r="F4" s="25" t="n">
        <x:v>0.5</x:v>
      </x:c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 ht="32" customHeight="1">
      <x:c r="A7" s="6" t="str">
        <x:v>Case</x:v>
      </x:c>
      <x:c r="B7" s="6" t="str">
        <x:v>Gateway capture</x:v>
      </x:c>
      <x:c r="C7" s="6" t="str">
        <x:v>Requested Durban bn L</x:v>
      </x:c>
      <x:c r="D7" s="6" t="str">
        <x:v>Screened Durban bn L</x:v>
      </x:c>
      <x:c r="E7" s="6" t="str">
        <x:v>Lesedi bn L</x:v>
      </x:c>
      <x:c r="F7" s="6" t="str">
        <x:v>Unique flow bn L</x:v>
      </x:c>
      <x:c r="G7" s="6" t="str">
        <x:v>Gross site movements bn L</x:v>
      </x:c>
      <x:c r="H7" s="6" t="str">
        <x:v>Tank screen reduction bn L</x:v>
      </x:c>
    </x:row>
    <x:row r="8" ht="30" customHeight="1">
      <x:c r="A8" s="2" t="str">
        <x:v>Low</x:v>
      </x:c>
      <x:c r="B8" s="25" t="n">
        <x:v>0.1</x:v>
      </x:c>
      <x:c r="C8" s="13" t="n">
        <x:f>IF(OR(B8&lt;0,B8&gt;1),NA(),$B$4*B8)</x:f>
        <x:v>1.316051517964</x:v>
      </x:c>
      <x:c r="D8" s="13" t="n">
        <x:f>MIN(C8,'Operations'!$E$5)</x:f>
        <x:v>1.316051517964</x:v>
      </x:c>
      <x:c r="E8" s="13" t="n">
        <x:f>IF(OR($F$4&lt;0,$F$4&gt;1),NA(),MIN(D8*$F$4,'Operations'!$E$6))</x:f>
        <x:v>0.658025758982</x:v>
      </x:c>
      <x:c r="F8" s="13" t="n">
        <x:f>D8</x:f>
        <x:v>1.316051517964</x:v>
      </x:c>
      <x:c r="G8" s="13" t="n">
        <x:f>SUM(D8:E8)</x:f>
        <x:v>1.974077276946</x:v>
      </x:c>
      <x:c r="H8" s="13" t="n">
        <x:f>C8-D8</x:f>
        <x:v>0</x:v>
      </x:c>
    </x:row>
    <x:row r="9" ht="30" customHeight="1">
      <x:c r="A9" s="2" t="str">
        <x:v>Base</x:v>
      </x:c>
      <x:c r="B9" s="25" t="n">
        <x:v>0.2</x:v>
      </x:c>
      <x:c r="C9" s="13" t="n">
        <x:f>IF(OR(B9&lt;0,B9&gt;1),NA(),$B$4*B9)</x:f>
        <x:v>2.632103035928</x:v>
      </x:c>
      <x:c r="D9" s="13" t="n">
        <x:f>MIN(C9,'Operations'!$E$5)</x:f>
        <x:v>2.632103035928</x:v>
      </x:c>
      <x:c r="E9" s="13" t="n">
        <x:f>IF(OR($F$4&lt;0,$F$4&gt;1),NA(),MIN(D9*$F$4,'Operations'!$E$6))</x:f>
        <x:v>1.316051517964</x:v>
      </x:c>
      <x:c r="F9" s="13" t="n">
        <x:f>D9</x:f>
        <x:v>2.632103035928</x:v>
      </x:c>
      <x:c r="G9" s="13" t="n">
        <x:f>SUM(D9:E9)</x:f>
        <x:v>3.948154553892</x:v>
      </x:c>
      <x:c r="H9" s="13" t="n">
        <x:f>C9-D9</x:f>
        <x:v>0</x:v>
      </x:c>
    </x:row>
    <x:row r="10" ht="30" customHeight="1">
      <x:c r="A10" s="2" t="str">
        <x:v>High</x:v>
      </x:c>
      <x:c r="B10" s="25" t="n">
        <x:v>0.3</x:v>
      </x:c>
      <x:c r="C10" s="13" t="n">
        <x:f>IF(OR(B10&lt;0,B10&gt;1),NA(),$B$4*B10)</x:f>
        <x:v>3.9481545538919995</x:v>
      </x:c>
      <x:c r="D10" s="13" t="n">
        <x:f>MIN(C10,'Operations'!$E$5)</x:f>
        <x:v>3.504</x:v>
      </x:c>
      <x:c r="E10" s="13" t="n">
        <x:f>IF(OR($F$4&lt;0,$F$4&gt;1),NA(),MIN(D10*$F$4,'Operations'!$E$6))</x:f>
        <x:v>1.752</x:v>
      </x:c>
      <x:c r="F10" s="13" t="n">
        <x:f>D10</x:f>
        <x:v>3.504</x:v>
      </x:c>
      <x:c r="G10" s="13" t="n">
        <x:f>SUM(D10:E10)</x:f>
        <x:v>5.256</x:v>
      </x:c>
      <x:c r="H10" s="13" t="n">
        <x:f>C10-D10</x:f>
        <x:v>0.44415455389199954</x:v>
      </x:c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 ht="40" customHeight="1">
      <x:c r="A13" s="11" t="str">
        <x:v>Lesedi is a subset of captured Durban flow in this screen. Gross site movements count handling at both terminals; unique flow counts the imported fuel once.</x:v>
      </x:c>
      <x:c r="B13" s="11"/>
      <x:c r="C13" s="11"/>
      <x:c r="D13" s="11"/>
      <x:c r="E13" s="11"/>
      <x:c r="F13" s="11"/>
      <x:c r="G13" s="11"/>
      <x:c r="H13" s="11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 ht="40" customHeight="1">
      <x:c r="A15" s="11" t="str">
        <x:v>The default 10/20/30% capture and 50% routing assumptions are authored settings. Customer commitments, contestable volumes and terminal/pipeline access have not been established.</x:v>
      </x:c>
      <x:c r="B15" s="11"/>
      <x:c r="C15" s="11"/>
      <x:c r="D15" s="11"/>
      <x:c r="E15" s="11"/>
      <x:c r="F15" s="11"/>
      <x:c r="G15" s="11"/>
      <x:c r="H15" s="11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 ht="40" customHeight="1">
      <x:c r="A17" s="11" t="str">
        <x:v>Other-terminal and domestic receipts into Lesedi are excluded. Existing throughput is unknown, so these are total scenario volumes and cannot be presented as incremental volume or revenue.</x:v>
      </x:c>
      <x:c r="B17" s="11"/>
      <x:c r="C17" s="11"/>
      <x:c r="D17" s="11"/>
      <x:c r="E17" s="11"/>
      <x:c r="F17" s="11"/>
      <x:c r="G17" s="11"/>
      <x:c r="H17" s="11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 ht="40" customHeight="1">
      <x:c r="A19" s="11" t="str">
        <x:v>Operations shows working-tank sensitivities. At the default two turns/month, Durban’s estimated subset limits the high case to 3.504bn L. Actual engineering limits may differ.</x:v>
      </x:c>
      <x:c r="B19" s="11"/>
      <x:c r="C19" s="11"/>
      <x:c r="D19" s="11"/>
      <x:c r="E19" s="11"/>
      <x:c r="F19" s="11"/>
      <x:c r="G19" s="11"/>
      <x:c r="H19" s="11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</x:sheetData>
  <x:mergeCells>
    <x:mergeCell ref="A2:H2"/>
    <x:mergeCell ref="A13:H13"/>
    <x:mergeCell ref="A15:H15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54" hidden="0" customWidth="1"/>
  </x:cols>
  <x:sheetData>
    <x:row r="1" ht="30" customHeight="1">
      <x:c r="A1" s="3" t="str">
        <x:v>South Africa market context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6" t="str">
        <x:v>Measure</x:v>
      </x:c>
      <x:c r="B4" s="6" t="str">
        <x:v>Petrol bn L</x:v>
      </x:c>
      <x:c r="C4" s="6" t="str">
        <x:v>Diesel bn L</x:v>
      </x:c>
      <x:c r="D4" s="6" t="str">
        <x:v>Total bn L</x:v>
      </x:c>
      <x:c r="E4" s="6" t="str">
        <x:v>Period</x:v>
      </x:c>
      <x:c r="F4" s="6" t="str">
        <x:v>Definition and source</x:v>
      </x:c>
      <x:c r="G4" s="2"/>
      <x:c r="H4" s="2"/>
    </x:row>
    <x:row r="5" ht="50" customHeight="1">
      <x:c r="A5" s="8" t="str">
        <x:v>National sales</x:v>
      </x:c>
      <x:c r="B5" s="9" t="n">
        <x:v>9.036950113492</x:v>
      </x:c>
      <x:c r="C5" s="9" t="n">
        <x:v>12.907499965808</x:v>
      </x:c>
      <x:c r="D5" s="9" t="n">
        <x:f>SUM(B5:C5)</x:f>
        <x:v>21.9444500793</x:v>
      </x:c>
      <x:c r="E5" s="8" t="str">
        <x:v>2023</x:v>
      </x:c>
      <x:c r="F5" s="8" t="str">
        <x:v>Department of Mineral and Petroleum Resources. Sales proxy for demand.</x:v>
      </x:c>
      <x:c r="G5" s="2"/>
      <x:c r="H5" s="2"/>
    </x:row>
    <x:row r="6" ht="50" customHeight="1">
      <x:c r="A6" s="8" t="str">
        <x:v>National gross imports</x:v>
      </x:c>
      <x:c r="B6" s="9" t="n">
        <x:v>4.45347117815</x:v>
      </x:c>
      <x:c r="C6" s="9" t="n">
        <x:v>12.24872026207</x:v>
      </x:c>
      <x:c r="D6" s="9" t="n">
        <x:f>SUM(B6:C6)</x:f>
        <x:v>16.70219144022</x:v>
      </x:c>
      <x:c r="E6" s="8" t="str">
        <x:v>2025</x:v>
      </x:c>
      <x:c r="F6" s="8" t="str">
        <x:v>SARS customs, all offices. Gross imports are distinct from consumption.</x:v>
      </x:c>
      <x:c r="G6" s="2"/>
      <x:c r="H6" s="2"/>
    </x:row>
    <x:row r="7" ht="50" customHeight="1">
      <x:c r="A7" s="8" t="str">
        <x:v>National exports</x:v>
      </x:c>
      <x:c r="B7" s="9" t="n">
        <x:v>0.801762466</x:v>
      </x:c>
      <x:c r="C7" s="9" t="n">
        <x:v>0.74670021007</x:v>
      </x:c>
      <x:c r="D7" s="9" t="n">
        <x:f>SUM(B7:C7)</x:f>
        <x:v>1.54846267607</x:v>
      </x:c>
      <x:c r="E7" s="8" t="str">
        <x:v>2025</x:v>
      </x:c>
      <x:c r="F7" s="8" t="str">
        <x:v>SARS customs, all offices.</x:v>
      </x:c>
      <x:c r="G7" s="2"/>
      <x:c r="H7" s="2"/>
    </x:row>
    <x:row r="8" ht="50" customHeight="1">
      <x:c r="A8" s="8" t="str">
        <x:v>National net imports</x:v>
      </x:c>
      <x:c r="B8" s="9" t="n">
        <x:f>B6-B7</x:f>
        <x:v>3.65170871215</x:v>
      </x:c>
      <x:c r="C8" s="9" t="n">
        <x:f>C6-C7</x:f>
        <x:v>11.502020052</x:v>
      </x:c>
      <x:c r="D8" s="9" t="n">
        <x:f>SUM(B8:C8)</x:f>
        <x:v>15.153728764150001</x:v>
      </x:c>
      <x:c r="E8" s="8" t="str">
        <x:v>2025</x:v>
      </x:c>
      <x:c r="F8" s="8" t="str">
        <x:v>Gross imports less exports. Not a production or consumption estimate.</x:v>
      </x:c>
      <x:c r="G8" s="2"/>
      <x:c r="H8" s="2"/>
    </x:row>
    <x:row r="9" ht="50" customHeight="1">
      <x:c r="A9" s="8" t="str">
        <x:v>Durban customs imports</x:v>
      </x:c>
      <x:c r="B9" s="9" t="n">
        <x:v>4.228979739</x:v>
      </x:c>
      <x:c r="C9" s="9" t="n">
        <x:v>8.93153544064</x:v>
      </x:c>
      <x:c r="D9" s="9" t="n">
        <x:f>SUM(B9:C9)</x:f>
        <x:v>13.160515179639999</x:v>
      </x:c>
      <x:c r="E9" s="8" t="str">
        <x:v>2025</x:v>
      </x:c>
      <x:c r="F9" s="8" t="str">
        <x:v>Office of clearance is a gateway proxy, not terminal receipts.</x:v>
      </x:c>
      <x:c r="G9" s="2"/>
      <x:c r="H9" s="2"/>
    </x:row>
    <x:row r="10" ht="50" customHeight="1">
      <x:c r="A10" s="8" t="str">
        <x:v>KwaZulu-Natal sales</x:v>
      </x:c>
      <x:c r="B10" s="9" t="n">
        <x:v>1.498937893394999</x:v>
      </x:c>
      <x:c r="C10" s="9" t="n">
        <x:v>2.7855548025030004</x:v>
      </x:c>
      <x:c r="D10" s="9" t="n">
        <x:f>SUM(B10:C10)</x:f>
        <x:v>4.284492695897999</x:v>
      </x:c>
      <x:c r="E10" s="8" t="str">
        <x:v>2022</x:v>
      </x:c>
      <x:c r="F10" s="8" t="str">
        <x:v>Provincial demand context. Not a Durban minimum addressable market.</x:v>
      </x:c>
      <x:c r="G10" s="2"/>
      <x:c r="H10" s="2"/>
    </x:row>
    <x:row r="11" ht="50" customHeight="1">
      <x:c r="A11" s="8" t="str">
        <x:v>Gauteng sales</x:v>
      </x:c>
      <x:c r="B11" s="9" t="n">
        <x:v>3.530440256933996</x:v>
      </x:c>
      <x:c r="C11" s="9" t="n">
        <x:v>3.2789905019619985</x:v>
      </x:c>
      <x:c r="D11" s="9" t="n">
        <x:f>SUM(B11:C11)</x:f>
        <x:v>6.809430758895994</x:v>
      </x:c>
      <x:c r="E11" s="8" t="str">
        <x:v>2022</x:v>
      </x:c>
      <x:c r="F11" s="8" t="str">
        <x:v>Nested within the six inland provinces. Not an import requirement.</x:v>
      </x:c>
      <x:c r="G11" s="2"/>
      <x:c r="H11" s="2"/>
    </x:row>
    <x:row r="12" ht="50" customHeight="1">
      <x:c r="A12" s="8" t="str">
        <x:v>Six inland provinces</x:v>
      </x:c>
      <x:c r="B12" s="9" t="n">
        <x:v>5.551794117377994</x:v>
      </x:c>
      <x:c r="C12" s="9" t="n">
        <x:v>6.399649786728995</x:v>
      </x:c>
      <x:c r="D12" s="9" t="n">
        <x:f>SUM(B12:C12)</x:f>
        <x:v>11.951443904106988</x:v>
      </x:c>
      <x:c r="E12" s="8" t="str">
        <x:v>2022</x:v>
      </x:c>
      <x:c r="F12" s="8" t="str">
        <x:v>GP, MP, FS, NW, LP, NC. Includes domestic supply and other gateways.</x:v>
      </x:c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 ht="40" customHeight="1">
      <x:c r="A15" s="11" t="str">
        <x:v>Years remain distinct. The 2025 Durban import pool, 2022 catchments and 2023 national demand cannot be added or treated as endpoints of one market range.</x:v>
      </x:c>
      <x:c r="B15" s="11"/>
      <x:c r="C15" s="11"/>
      <x:c r="D15" s="11"/>
      <x:c r="E15" s="11"/>
      <x:c r="F15" s="11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 ht="40" customHeight="1">
      <x:c r="A17" s="11" t="str">
        <x:v>The previous 8.88bn litre inland-flow residual mixed 2025 imports with 2022 KZN sales. It does not establish inland, road or rail movements.</x:v>
      </x:c>
      <x:c r="B17" s="11"/>
      <x:c r="C17" s="11"/>
      <x:c r="D17" s="11"/>
      <x:c r="E17" s="11"/>
      <x:c r="F17" s="11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</x:sheetData>
  <x:mergeCells>
    <x:mergeCell ref="A15:F15"/>
    <x:mergeCell ref="A17:F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5" hidden="0" customWidth="1"/>
  </x:cols>
  <x:sheetData>
    <x:row r="1" ht="30" customHeight="1">
      <x:c r="A1" s="3" t="str">
        <x:v>Working tankage and pipeline context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6" t="str">
        <x:v>Site</x:v>
      </x:c>
      <x:c r="B4" s="6" t="str">
        <x:v>Working m³</x:v>
      </x:c>
      <x:c r="C4" s="6" t="str">
        <x:v>Estimated m³</x:v>
      </x:c>
      <x:c r="D4" s="6" t="str">
        <x:v>Base turns/month</x:v>
      </x:c>
      <x:c r="E4" s="6" t="str">
        <x:v>Handling bn L/year</x:v>
      </x:c>
      <x:c r="F4" s="6" t="str">
        <x:v>Scope</x:v>
      </x:c>
      <x:c r="G4" s="2"/>
      <x:c r="H4" s="2"/>
    </x:row>
    <x:row r="5" ht="55" customHeight="1">
      <x:c r="A5" s="8" t="str">
        <x:v>Durban</x:v>
      </x:c>
      <x:c r="B5" s="18" t="n">
        <x:v>146000</x:v>
      </x:c>
      <x:c r="C5" s="19" t="n">
        <x:v>146000</x:v>
      </x:c>
      <x:c r="D5" s="20" t="n">
        <x:v>2</x:v>
      </x:c>
      <x:c r="E5" s="21" t="n">
        <x:f>IF(OR(B5&lt;0,D5&lt;0),NA(),B5*D5*12/1000000)</x:f>
        <x:v>3.504</x:v>
      </x:c>
      <x:c r="F5" s="8" t="str">
        <x:v>Estimated petrol/diesel subset, not 360,246 m³ gross tankage.</x:v>
      </x:c>
      <x:c r="G5" s="2"/>
      <x:c r="H5" s="2"/>
    </x:row>
    <x:row r="6" ht="55" customHeight="1">
      <x:c r="A6" s="8" t="str">
        <x:v>Lesedi</x:v>
      </x:c>
      <x:c r="B6" s="18" t="n">
        <x:v>124000</x:v>
      </x:c>
      <x:c r="C6" s="19" t="n">
        <x:v>36000</x:v>
      </x:c>
      <x:c r="D6" s="20" t="n">
        <x:v>2</x:v>
      </x:c>
      <x:c r="E6" s="21" t="n">
        <x:f>IF(OR(B6&lt;0,D6&lt;0),NA(),B6*D6*12/1000000)</x:f>
        <x:v>2.976</x:v>
      </x:c>
      <x:c r="F6" s="8" t="str">
        <x:v>88,000 m³ documented plus 36,000 m³ estimated for newer tanks.</x:v>
      </x:c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 ht="32" customHeight="1">
      <x:c r="A9" s="6" t="str">
        <x:v>Site</x:v>
      </x:c>
      <x:c r="B9" s="6" t="str">
        <x:v>Low turns</x:v>
      </x:c>
      <x:c r="C9" s="6" t="str">
        <x:v>Base turns</x:v>
      </x:c>
      <x:c r="D9" s="6" t="str">
        <x:v>High turns</x:v>
      </x:c>
      <x:c r="E9" s="6" t="str">
        <x:v>Low bn L</x:v>
      </x:c>
      <x:c r="F9" s="6" t="str">
        <x:v>High bn L</x:v>
      </x:c>
      <x:c r="G9" s="2"/>
      <x:c r="H9" s="2"/>
    </x:row>
    <x:row r="10">
      <x:c r="A10" s="2" t="str">
        <x:v>Durban</x:v>
      </x:c>
      <x:c r="B10" s="17" t="n">
        <x:v>1</x:v>
      </x:c>
      <x:c r="C10" s="13" t="n">
        <x:f>D5</x:f>
        <x:v>2</x:v>
      </x:c>
      <x:c r="D10" s="17" t="n">
        <x:v>3</x:v>
      </x:c>
      <x:c r="E10" s="13" t="n">
        <x:f>$B5*B10*12/1000000</x:f>
        <x:v>1.752</x:v>
      </x:c>
      <x:c r="F10" s="13" t="n">
        <x:f>$B5*D10*12/1000000</x:f>
        <x:v>5.256</x:v>
      </x:c>
      <x:c r="G10" s="2"/>
      <x:c r="H10" s="2"/>
    </x:row>
    <x:row r="11">
      <x:c r="A11" s="2" t="str">
        <x:v>Lesedi</x:v>
      </x:c>
      <x:c r="B11" s="17" t="n">
        <x:v>1</x:v>
      </x:c>
      <x:c r="C11" s="13" t="n">
        <x:f>D6</x:f>
        <x:v>2</x:v>
      </x:c>
      <x:c r="D11" s="17" t="n">
        <x:v>2.4</x:v>
      </x:c>
      <x:c r="E11" s="13" t="n">
        <x:f>$B6*B11*12/1000000</x:f>
        <x:v>1.488</x:v>
      </x:c>
      <x:c r="F11" s="13" t="n">
        <x:f>$B6*D11*12/1000000</x:f>
        <x:v>3.5712</x:v>
      </x:c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 ht="32" customHeight="1">
      <x:c r="A14" s="6" t="str">
        <x:v>MPP shared pipeline</x:v>
      </x:c>
      <x:c r="B14" s="6" t="str">
        <x:v>Value</x:v>
      </x:c>
      <x:c r="C14" s="6" t="str">
        <x:v>Unit</x:v>
      </x:c>
      <x:c r="D14" s="6" t="str">
        <x:v>Period</x:v>
      </x:c>
      <x:c r="E14" s="2"/>
      <x:c r="F14" s="2"/>
      <x:c r="G14" s="2"/>
      <x:c r="H14" s="2"/>
    </x:row>
    <x:row r="15">
      <x:c r="A15" s="2" t="str">
        <x:v>Average use</x:v>
      </x:c>
      <x:c r="B15" s="2" t="n">
        <x:v>105</x:v>
      </x:c>
      <x:c r="C15" s="2" t="str">
        <x:v>ML/week</x:v>
      </x:c>
      <x:c r="D15" s="2" t="str">
        <x:v>FY2025 actual</x:v>
      </x:c>
      <x:c r="E15" s="2"/>
      <x:c r="F15" s="2"/>
      <x:c r="G15" s="2"/>
      <x:c r="H15" s="2"/>
    </x:row>
    <x:row r="16">
      <x:c r="A16" s="2" t="str">
        <x:v>Capacity</x:v>
      </x:c>
      <x:c r="B16" s="2" t="n">
        <x:v>148</x:v>
      </x:c>
      <x:c r="C16" s="2" t="str">
        <x:v>ML/week</x:v>
      </x:c>
      <x:c r="D16" s="2" t="str">
        <x:v>FY2025 report</x:v>
      </x:c>
      <x:c r="E16" s="2"/>
      <x:c r="F16" s="2"/>
      <x:c r="G16" s="2"/>
      <x:c r="H16" s="2"/>
    </x:row>
    <x:row r="17">
      <x:c r="A17" s="2" t="str">
        <x:v>Annualisation</x:v>
      </x:c>
      <x:c r="B17" s="2" t="n">
        <x:v>52</x:v>
      </x:c>
      <x:c r="C17" s="2" t="str">
        <x:v>weeks</x:v>
      </x:c>
      <x:c r="D17" s="2" t="str">
        <x:v>Arithmetic convention</x:v>
      </x:c>
      <x:c r="E17" s="2"/>
      <x:c r="F17" s="2"/>
      <x:c r="G17" s="2"/>
      <x:c r="H17" s="2"/>
    </x:row>
    <x:row r="18">
      <x:c r="A18" s="2" t="str">
        <x:v>Annualised use</x:v>
      </x:c>
      <x:c r="B18" s="7" t="n">
        <x:f>B15*B17/1000</x:f>
        <x:v>5.46</x:v>
      </x:c>
      <x:c r="C18" s="2" t="str">
        <x:v>bn L/year</x:v>
      </x:c>
      <x:c r="D18" s="2"/>
      <x:c r="E18" s="2"/>
      <x:c r="F18" s="2"/>
      <x:c r="G18" s="2"/>
      <x:c r="H18" s="2"/>
    </x:row>
    <x:row r="19">
      <x:c r="A19" s="2" t="str">
        <x:v>Annualised capacity</x:v>
      </x:c>
      <x:c r="B19" s="7" t="n">
        <x:f>B16*B17/1000</x:f>
        <x:v>7.696</x:v>
      </x:c>
      <x:c r="C19" s="2" t="str">
        <x:v>bn L/year</x:v>
      </x:c>
      <x:c r="D19" s="2"/>
      <x:c r="E19" s="2"/>
      <x:c r="F19" s="2"/>
      <x:c r="G19" s="2"/>
      <x:c r="H19" s="2"/>
    </x:row>
    <x:row r="20">
      <x:c r="A20" s="2" t="str">
        <x:v>Use / capacity</x:v>
      </x:c>
      <x:c r="B20" s="22" t="n">
        <x:f>B15/B16</x:f>
        <x:v>0.7094594594594594</x:v>
      </x:c>
      <x:c r="C20" s="2"/>
      <x:c r="D20" s="2"/>
      <x:c r="E20" s="2"/>
      <x:c r="F20" s="2"/>
      <x:c r="G20" s="2"/>
      <x:c r="H20" s="2"/>
    </x:row>
    <x:row r="21">
      <x:c r="A21" s="2" t="str">
        <x:v>Arithmetic unused capacity</x:v>
      </x:c>
      <x:c r="B21" s="7" t="n">
        <x:f>B19-B18</x:f>
        <x:v>2.2359999999999998</x:v>
      </x:c>
      <x:c r="C21" s="2" t="str">
        <x:v>bn L/year</x:v>
      </x:c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 ht="40" customHeight="1">
      <x:c r="A24" s="11" t="str">
        <x:v>Tank arithmetic is a sensitivity, not a guaranteed engineering ceiling. The shared pipeline’s unused average capacity is not Vopak entitlement. Access, product allocation, peaks and downtime remain unverified.</x:v>
      </x:c>
      <x:c r="B24" s="11"/>
      <x:c r="C24" s="11"/>
      <x:c r="D24" s="11"/>
      <x:c r="E24" s="11"/>
      <x:c r="F24" s="11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</x:sheetData>
  <x:mergeCells>
    <x:mergeCell ref="A24:F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9" hidden="0" customWidth="1"/>
    <x:col min="3" max="3" width="69" hidden="0" customWidth="1"/>
  </x:cols>
  <x:sheetData>
    <x:row r="1" ht="30" customHeight="1">
      <x:c r="A1" s="3" t="str">
        <x:v>Sources and remaining inputs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6" t="str">
        <x:v>Input / issue</x:v>
      </x:c>
      <x:c r="B4" s="6" t="str">
        <x:v>Evidence or assumption</x:v>
      </x:c>
      <x:c r="C4" s="6" t="str">
        <x:v>Source / next action</x:v>
      </x:c>
      <x:c r="D4" s="2"/>
      <x:c r="E4" s="2"/>
      <x:c r="F4" s="2"/>
      <x:c r="G4" s="2"/>
      <x:c r="H4" s="2"/>
    </x:row>
    <x:row r="5" ht="75" customHeight="1">
      <x:c r="A5" s="8" t="str">
        <x:v>National and provincial sales</x:v>
      </x:c>
      <x:c r="B5" s="8" t="str">
        <x:v>2023 national and 2022 provincial observations. Later provincial estimates excluded from this screen.</x:v>
      </x:c>
      <x:c r="C5" s="8" t="str">
        <x:v>DMPR sales publications, as consolidated by Manish. https://www.dmpr.gov.za/Portals/0/Energy_Website/files/media/media_SAVolumes.html</x:v>
      </x:c>
      <x:c r="D5" s="2"/>
      <x:c r="E5" s="2"/>
      <x:c r="F5" s="2"/>
      <x:c r="G5" s="2"/>
      <x:c r="H5" s="2"/>
    </x:row>
    <x:row r="6" ht="75" customHeight="1">
      <x:c r="A6" s="8" t="str">
        <x:v>Customs trade</x:v>
      </x:c>
      <x:c r="B6" s="8" t="str">
        <x:v>2025 petrol and diesel, litre-reported codes. Office is a gateway proxy.</x:v>
      </x:c>
      <x:c r="C6" s="8" t="str">
        <x:v>SARS customs as consolidated in Manish’s master workbook. Preserve product and unit exclusions.</x:v>
      </x:c>
      <x:c r="D6" s="2"/>
      <x:c r="E6" s="2"/>
      <x:c r="F6" s="2"/>
      <x:c r="G6" s="2"/>
      <x:c r="H6" s="2"/>
    </x:row>
    <x:row r="7" ht="75" customHeight="1">
      <x:c r="A7" s="8" t="str">
        <x:v>Working capacity and turns</x:v>
      </x:c>
      <x:c r="B7" s="8" t="str">
        <x:v>Durban 146,000 m³ estimated subset; Lesedi 124,000 m³ partly estimated. Turns are proposed.</x:v>
      </x:c>
      <x:c r="C7" s="8" t="str">
        <x:v>NERSA licence documents and Vopak statements in Manish’s site assumptions. DR03 client confirmation required.</x:v>
      </x:c>
      <x:c r="D7" s="2"/>
      <x:c r="E7" s="2"/>
      <x:c r="F7" s="2"/>
      <x:c r="G7" s="2"/>
      <x:c r="H7" s="2"/>
    </x:row>
    <x:row r="8" ht="75" customHeight="1">
      <x:c r="A8" s="8" t="str">
        <x:v>Pipeline</x:v>
      </x:c>
      <x:c r="B8" s="8" t="str">
        <x:v>FY2025 actual 105:148 ML/week. Annualisation uses 52 weeks.</x:v>
      </x:c>
      <x:c r="C8" s="8" t="str">
        <x:v>Transnet Pipelines 2025, printed page 8. https://www.transnet.net/getFile.ashx?id=6121</x:v>
      </x:c>
      <x:c r="D8" s="2"/>
      <x:c r="E8" s="2"/>
      <x:c r="F8" s="2"/>
      <x:c r="G8" s="2"/>
      <x:c r="H8" s="2"/>
    </x:row>
    <x:row r="9" ht="75" customHeight="1">
      <x:c r="A9" s="8" t="str">
        <x:v>Capture and routing</x:v>
      </x:c>
      <x:c r="B9" s="8" t="str">
        <x:v>10/20/30% gateway capture; 50% to Lesedi. Authored sensitivities, not observed shares.</x:v>
      </x:c>
      <x:c r="C9" s="8" t="str">
        <x:v>Replace with DR02/05 customer, contract and linked-transfer evidence.</x:v>
      </x:c>
      <x:c r="D9" s="2"/>
      <x:c r="E9" s="2"/>
      <x:c r="F9" s="2"/>
      <x:c r="G9" s="2"/>
      <x:c r="H9" s="2"/>
    </x:row>
    <x:row r="10" ht="75" customHeight="1">
      <x:c r="A10" s="8" t="str">
        <x:v>Current throughput</x:v>
      </x:c>
      <x:c r="B10" s="8" t="str">
        <x:v>Not supplied. No current market share or incremental-volume claim.</x:v>
      </x:c>
      <x:c r="C10" s="8" t="str">
        <x:v>DR02/05: 36 months of receipts/dispatches, products, linked transfers and destinations. Nigel coordinates.</x:v>
      </x:c>
      <x:c r="D10" s="2"/>
      <x:c r="E10" s="2"/>
      <x:c r="F10" s="2"/>
      <x:c r="G10" s="2"/>
      <x:c r="H10" s="2"/>
    </x:row>
    <x:row r="11" ht="75" customHeight="1">
      <x:c r="A11" s="8" t="str">
        <x:v>Operating limits</x:v>
      </x:c>
      <x:c r="B11" s="8" t="str">
        <x:v>Tankage and average pipeline capacity do not prove access or achievable dispatch.</x:v>
      </x:c>
      <x:c r="C11" s="8" t="str">
        <x:v>DR03/04: product allocations, committed tanks, peaks, downtime, injection and dispatch rights.</x:v>
      </x:c>
      <x:c r="D11" s="2"/>
      <x:c r="E11" s="2"/>
      <x:c r="F11" s="2"/>
      <x:c r="G11" s="2"/>
      <x:c r="H11" s="2"/>
    </x:row>
    <x:row r="12" ht="75" customHeight="1">
      <x:c r="A12" s="8" t="str">
        <x:v>Revenue and investment</x:v>
      </x:c>
      <x:c r="B12" s="8" t="str">
        <x:v>No tariff, revenue or investment result is calculated in this workbook.</x:v>
      </x:c>
      <x:c r="C12" s="8" t="str">
        <x:v>DR06: contracts, included throughput, excess charges, costs, capex, timing, tax and working capital.</x:v>
      </x:c>
      <x:c r="D12" s="2"/>
      <x:c r="E12" s="2"/>
      <x:c r="F12" s="2"/>
      <x:c r="G12" s="2"/>
      <x:c r="H12" s="2"/>
    </x:row>
    <x:row r="13" ht="75" customHeight="1">
      <x:c r="A13" s="8" t="str">
        <x:v>Full data-gap register</x:v>
      </x:c>
      <x:c r="B13" s="8" t="str">
        <x:v>The companion master review retains all 63 review items across nine requests.</x:v>
      </x:c>
      <x:c r="C13" s="8" t="str">
        <x:v>Master_data_book_review_2026-10-10_v01.xlsx: Request coverage and Gap register.</x:v>
      </x:c>
      <x:c r="D13" s="2"/>
      <x:c r="E13" s="2"/>
      <x:c r="F13" s="2"/>
      <x:c r="G13" s="2"/>
      <x:c r="H13" s="2"/>
    </x:row>
    <x:row r="14" ht="75" customHeight="1">
      <x:c r="A14" s="8" t="str">
        <x:v>Investment illustration</x:v>
      </x:c>
      <x:c r="B14" s="8" t="str">
        <x:v>Story pp39–42 use separate catchment/capture/commercial assumptions. Existing working capacity now aligns to 124,000 m³.</x:v>
      </x:c>
      <x:c r="C14" s="8" t="str">
        <x:v>Its 1.25/1.50 turns and rental-allocation assumptions differ from this two-turn capture screen. No client approval inferred.</x:v>
      </x:c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</x:sheetData>
  <x:pageMargins left="0.7" right="0.7" top="0.75" bottom="0.75" header="0.3" footer="0.3"/>
</x:worksheet>
</file>