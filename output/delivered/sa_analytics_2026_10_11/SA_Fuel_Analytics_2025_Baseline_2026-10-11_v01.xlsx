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ceb2363ff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e3aaa83d4d4d38"/>
    <x:sheet xmlns:r="http://schemas.openxmlformats.org/officeDocument/2006/relationships" name="Demand history" sheetId="2" r:id="R784f9b47388a4318"/>
    <x:sheet xmlns:r="http://schemas.openxmlformats.org/officeDocument/2006/relationships" name="Segments" sheetId="3" r:id="R0b5489c556a24249"/>
    <x:sheet xmlns:r="http://schemas.openxmlformats.org/officeDocument/2006/relationships" name="Plant supply" sheetId="4" r:id="R9cf77b8da9224cf7"/>
    <x:sheet xmlns:r="http://schemas.openxmlformats.org/officeDocument/2006/relationships" name="Balance" sheetId="5" r:id="R80377a0f95e34375"/>
    <x:sheet xmlns:r="http://schemas.openxmlformats.org/officeDocument/2006/relationships" name="Scenarios" sheetId="6" r:id="R9cad7c36bed64702"/>
    <x:sheet xmlns:r="http://schemas.openxmlformats.org/officeDocument/2006/relationships" name="Driver bridge" sheetId="7" r:id="Ra8ddb27186a94d55"/>
    <x:sheet xmlns:r="http://schemas.openxmlformats.org/officeDocument/2006/relationships" name="Mozambique" sheetId="8" r:id="Rb465bfc52c954d6b"/>
    <x:sheet xmlns:r="http://schemas.openxmlformats.org/officeDocument/2006/relationships" name="Assumptions" sheetId="9" r:id="R921470bdbfd746af"/>
    <x:sheet xmlns:r="http://schemas.openxmlformats.org/officeDocument/2006/relationships" name="Evidence" sheetId="10" r:id="R01903754f2f1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;[Red](0.000);0.000"/>
    <x:numFmt numFmtId="201" formatCode="0"/>
    <x:numFmt numFmtId="202" formatCode="0.0%"/>
    <x:numFmt numFmtId="203" formatCode="#,##0"/>
    <x:numFmt numFmtId="204" formatCode="0.00"/>
  </x:numFmts>
  <x:fonts count="7">
    <x:font>
      <x:sz val="11"/>
      <x:name val="Carlito"/>
    </x:font>
    <x:font>
      <x:sz val="10"/>
      <x:color rgb="FF202020"/>
      <x:name val="Arial"/>
    </x:font>
    <x:font>
      <x:b/>
      <x:sz val="15"/>
      <x:color rgb="FF0B2475"/>
      <x:name val="Arial"/>
    </x:font>
    <x:font>
      <x:b/>
      <x:sz val="10"/>
      <x:color rgb="FFFFFFFF"/>
      <x:name val="Arial"/>
    </x:font>
    <x:font>
      <x:b/>
      <x:sz val="10"/>
      <x:color rgb="FF202020"/>
      <x:name val="Arial"/>
    </x:font>
    <x:font>
      <x:sz val="10"/>
      <x:color rgb="FF0000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2475"/>
      </x:patternFill>
    </x:fill>
    <x:fill>
      <x:patternFill patternType="solid">
        <x:fgColor rgb="FFFFF0CC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202" fontId="5" fillId="3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/>
    <x:xf numFmtId="204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c0469b19b47cd" /><Relationship Type="http://schemas.openxmlformats.org/officeDocument/2006/relationships/theme" Target="/xl/theme/theme1.xml" Id="R268bc626495a431f" /><Relationship Type="http://schemas.openxmlformats.org/officeDocument/2006/relationships/sharedStrings" Target="/xl/sharedStrings.xml" Id="Rdcf3e511157c47f4" /><Relationship Type="http://schemas.openxmlformats.org/officeDocument/2006/relationships/worksheet" Target="/xl/worksheets/sheet1.xml" Id="R0fe3aaa83d4d4d38" /><Relationship Type="http://schemas.openxmlformats.org/officeDocument/2006/relationships/worksheet" Target="/xl/worksheets/sheet2.xml" Id="R784f9b47388a4318" /><Relationship Type="http://schemas.openxmlformats.org/officeDocument/2006/relationships/worksheet" Target="/xl/worksheets/sheet3.xml" Id="R0b5489c556a24249" /><Relationship Type="http://schemas.openxmlformats.org/officeDocument/2006/relationships/worksheet" Target="/xl/worksheets/sheet4.xml" Id="R9cf77b8da9224cf7" /><Relationship Type="http://schemas.openxmlformats.org/officeDocument/2006/relationships/worksheet" Target="/xl/worksheets/sheet5.xml" Id="R80377a0f95e34375" /><Relationship Type="http://schemas.openxmlformats.org/officeDocument/2006/relationships/worksheet" Target="/xl/worksheets/sheet6.xml" Id="R9cad7c36bed64702" /><Relationship Type="http://schemas.openxmlformats.org/officeDocument/2006/relationships/worksheet" Target="/xl/worksheets/sheet7.xml" Id="Ra8ddb27186a94d55" /><Relationship Type="http://schemas.openxmlformats.org/officeDocument/2006/relationships/worksheet" Target="/xl/worksheets/sheet8.xml" Id="Rb465bfc52c954d6b" /><Relationship Type="http://schemas.openxmlformats.org/officeDocument/2006/relationships/worksheet" Target="/xl/worksheets/sheet9.xml" Id="R921470bdbfd746af" /><Relationship Type="http://schemas.openxmlformats.org/officeDocument/2006/relationships/worksheet" Target="/xl/worksheets/sheet10.xml" Id="R01903754f2f146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046d84eca541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Petrol and diesel demand (bn L); 2024–25 estimated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Petrol bn L</c:v>
          </c:tx>
          <c:spPr>
            <a:solidFill xmlns:a="http://schemas.openxmlformats.org/drawingml/2006/main">
              <a:srgbClr val="0B2475"/>
            </a:solidFill>
          </c:spPr>
          <c:marker>
            <c:symbol val="none"/>
          </c:marker>
          <c:cat>
            <c:strRef>
              <c:f>'Demand history'!$A$24:$A$36</c:f>
              <c:strCache>
                <c:ptCount val="0"/>
              </c:strCache>
            </c:strRef>
          </c:cat>
          <c:val>
            <c:numRef>
              <c:f>'Demand history'!$B$24:$B$36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Diesel bn L</c:v>
          </c:tx>
          <c:spPr>
            <a:solidFill xmlns:a="http://schemas.openxmlformats.org/drawingml/2006/main">
              <a:srgbClr val="607DB4"/>
            </a:solidFill>
          </c:spPr>
          <c:marker>
            <c:symbol val="none"/>
          </c:marker>
          <c:cat>
            <c:strRef>
              <c:f>'Demand history'!$A$24:$A$36</c:f>
              <c:strCache>
                <c:ptCount val="0"/>
              </c:strCache>
            </c:strRef>
          </c:cat>
          <c:val>
            <c:numRef>
              <c:f>'Demand history'!$C$24:$C$36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046d84eca541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c911eaf98894d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75" hidden="0" customWidth="1"/>
  </x:cols>
  <x:sheetData>
    <x:row r="1" ht="27" customHeight="1">
      <x:c r="A1" s="3" t="str">
        <x:v>South Africa fuel baseline and outlook</x:v>
      </x:c>
      <x:c r="B1" s="2"/>
      <x:c r="C1" s="2"/>
      <x:c r="D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</x:row>
    <x:row r="3" ht="42" customHeight="1">
      <x:c r="A3" s="2"/>
      <x:c r="B3" s="2"/>
      <x:c r="C3" s="2"/>
      <x:c r="D3" s="2"/>
    </x:row>
    <x:row r="4" ht="40" customHeight="1">
      <x:c r="A4" s="6" t="str">
        <x:v>Measure</x:v>
      </x:c>
      <x:c r="B4" s="6" t="str">
        <x:v>Value</x:v>
      </x:c>
      <x:c r="C4" s="6" t="str">
        <x:v>Unit</x:v>
      </x:c>
      <x:c r="D4" s="6" t="str">
        <x:v>Interpretation</x:v>
      </x:c>
    </x:row>
    <x:row r="5" ht="57" customHeight="1">
      <x:c r="A5" s="8" t="str">
        <x:v>2025 demand estimate</x:v>
      </x:c>
      <x:c r="B5" s="7" t="n">
        <x:f>'Balance'!D5</x:f>
        <x:v>20.987388197095243</x:v>
      </x:c>
      <x:c r="C5" s="2" t="str">
        <x:v>bn L</x:v>
      </x:c>
      <x:c r="D5" s="8" t="str">
        <x:v>Department 2023 sales extended with explicit activity, efficiency and power assumptions</x:v>
      </x:c>
    </x:row>
    <x:row r="6" ht="57" customHeight="1">
      <x:c r="A6" s="8" t="str">
        <x:v>2025 FIASA-anchor sensitivity</x:v>
      </x:c>
      <x:c r="B6" s="7" t="n">
        <x:f>'Demand history'!D19</x:f>
        <x:v>19.654429925</x:v>
      </x:c>
      <x:c r="C6" s="2" t="str">
        <x:v>bn L</x:v>
      </x:c>
      <x:c r="D6" s="8" t="str">
        <x:v>Alternative 2024 source followed by the same annual drivers</x:v>
      </x:c>
    </x:row>
    <x:row r="7" ht="57" customHeight="1">
      <x:c r="A7" s="8" t="str">
        <x:v>2025 domestic production</x:v>
      </x:c>
      <x:c r="B7" s="7" t="n">
        <x:f>'Balance'!D6</x:f>
        <x:v>10.225867130847352</x:v>
      </x:c>
      <x:c r="C7" s="2" t="str">
        <x:v>bn L</x:v>
      </x:c>
      <x:c r="D7" s="8" t="str">
        <x:v>Petrol/diesel subset estimated from plant output</x:v>
      </x:c>
    </x:row>
    <x:row r="8" ht="57" customHeight="1">
      <x:c r="A8" s="8" t="str">
        <x:v>2025 gross customs imports</x:v>
      </x:c>
      <x:c r="B8" s="7" t="n">
        <x:f>'Balance'!D7</x:f>
        <x:v>16.70219144022</x:v>
      </x:c>
      <x:c r="C8" s="2" t="str">
        <x:v>bn L</x:v>
      </x:c>
      <x:c r="D8" s="8" t="str">
        <x:v>Recorded national trade, not a demand estimate</x:v>
      </x:c>
    </x:row>
    <x:row r="9" ht="57" customHeight="1">
      <x:c r="A9" s="8" t="str">
        <x:v>Unexplained supply-demand difference</x:v>
      </x:c>
      <x:c r="B9" s="7" t="n">
        <x:f>'Balance'!D10</x:f>
        <x:v>4.3922076979021085</x:v>
      </x:c>
      <x:c r="C9" s="2" t="str">
        <x:v>bn L</x:v>
      </x:c>
      <x:c r="D9" s="8" t="str">
        <x:v>Keep visible; do not present a fully reconciled national balance</x:v>
      </x:c>
    </x:row>
    <x:row r="10" ht="57" customHeight="1">
      <x:c r="A10" s="8" t="str">
        <x:v>2030 base demand</x:v>
      </x:c>
      <x:c r="B10" s="7" t="n">
        <x:f>'Scenarios'!B16</x:f>
        <x:v>20.856616056089173</x:v>
      </x:c>
      <x:c r="C10" s="2" t="str">
        <x:v>bn L</x:v>
      </x:c>
      <x:c r="D10" s="8" t="str">
        <x:v>Explicit scenario, not reported forecast</x:v>
      </x:c>
    </x:row>
    <x:row r="11" ht="57" customHeight="1">
      <x:c r="A11" s="8" t="str">
        <x:v>2030 base import change</x:v>
      </x:c>
      <x:c r="B11" s="7" t="n">
        <x:f>'Scenarios'!E16</x:f>
        <x:v>-0.1307721410060676</x:v>
      </x:c>
      <x:c r="C11" s="2" t="str">
        <x:v>bn L</x:v>
      </x:c>
      <x:c r="D11" s="8" t="str">
        <x:v>Change is more interpretable than the unresolved absolute import level</x:v>
      </x:c>
    </x:row>
    <x:row r="12" ht="57" customHeight="1">
      <x:c r="A12" s="8" t="str">
        <x:v>2030 base trade-anchored imports</x:v>
      </x:c>
      <x:c r="B12" s="7" t="n">
        <x:f>'Scenarios'!F16</x:f>
        <x:v>16.57141929921393</x:v>
      </x:c>
      <x:c r="C12" s="2" t="str">
        <x:v>bn L</x:v>
      </x:c>
      <x:c r="D12" s="8" t="str">
        <x:v>2025 customs plus modelled change; holds unexplained difference constant</x:v>
      </x:c>
    </x:row>
    <x:row r="13" ht="57" customHeight="1">
      <x:c r="A13" s="8" t="str">
        <x:v>2030 base Mozambique diversion</x:v>
      </x:c>
      <x:c r="B13" s="7" t="n">
        <x:f>'Scenarios'!G16</x:f>
        <x:v>0.2</x:v>
      </x:c>
      <x:c r="C13" s="2" t="str">
        <x:v>bn L</x:v>
      </x:c>
      <x:c r="D13" s="8" t="str">
        <x:v>Route substitution; does not reduce national imports</x:v>
      </x:c>
    </x:row>
    <x:row r="14" ht="57" customHeight="1">
      <x:c r="A14" s="8" t="str">
        <x:v>Matola logistics premium</x:v>
      </x:c>
      <x:c r="B14" s="7" t="n">
        <x:f>'Mozambique'!B20-'Mozambique'!B19</x:f>
        <x:v>0.1924315068493152</x:v>
      </x:c>
      <x:c r="C14" s="2" t="str">
        <x:v>ZAR/L</x:v>
      </x:c>
      <x:c r="D14" s="8" t="str">
        <x:v>Assumed route economics; obtain comparable quotes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75" hidden="0" customWidth="1"/>
  </x:cols>
  <x:sheetData>
    <x:row r="1" ht="27" customHeight="1">
      <x:c r="A1" s="3" t="str">
        <x:v>Reported demand and the estimated 2025 baseline</x:v>
      </x:c>
      <x:c r="B1" s="2"/>
      <x:c r="C1" s="2"/>
      <x:c r="D1" s="2"/>
      <x:c r="E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  <x:c r="E2" s="2"/>
    </x:row>
    <x:row r="3" ht="42" customHeight="1">
      <x:c r="A3" s="2"/>
      <x:c r="B3" s="2"/>
      <x:c r="C3" s="2"/>
      <x:c r="D3" s="2"/>
      <x:c r="E3" s="2"/>
    </x:row>
    <x:row r="4" ht="40" customHeight="1">
      <x:c r="A4" s="6" t="str">
        <x:v>Year</x:v>
      </x:c>
      <x:c r="B4" s="6" t="str">
        <x:v>Petrol bn L</x:v>
      </x:c>
      <x:c r="C4" s="6" t="str">
        <x:v>Diesel bn L</x:v>
      </x:c>
      <x:c r="D4" s="6" t="str">
        <x:v>Total bn L</x:v>
      </x:c>
      <x:c r="E4" s="6" t="str">
        <x:v>Basis</x:v>
      </x:c>
    </x:row>
    <x:row r="5" ht="42" customHeight="1">
      <x:c r="A5" s="9" t="n">
        <x:v>2013</x:v>
      </x:c>
      <x:c r="B5" s="7" t="n">
        <x:f>'Evidence'!B6</x:f>
        <x:v>11.439925235</x:v>
      </x:c>
      <x:c r="C5" s="7" t="n">
        <x:f>'Evidence'!B5</x:f>
        <x:v>12.141281548</x:v>
      </x:c>
      <x:c r="D5" s="7" t="n">
        <x:f>B5+C5</x:f>
        <x:v>23.581206783</x:v>
      </x:c>
      <x:c r="E5" s="8" t="str">
        <x:v>Department reported sales; national petrol and diesel</x:v>
      </x:c>
    </x:row>
    <x:row r="6" ht="42" customHeight="1">
      <x:c r="A6" s="9" t="n">
        <x:v>2014</x:v>
      </x:c>
      <x:c r="B6" s="7" t="n">
        <x:f>'Evidence'!B8</x:f>
        <x:v>10.890207679</x:v>
      </x:c>
      <x:c r="C6" s="7" t="n">
        <x:f>'Evidence'!B7</x:f>
        <x:v>12.615023359</x:v>
      </x:c>
      <x:c r="D6" s="7" t="n">
        <x:f>B6+C6</x:f>
        <x:v>23.505231037999998</x:v>
      </x:c>
      <x:c r="E6" s="8" t="str">
        <x:v>Department reported sales; national petrol and diesel</x:v>
      </x:c>
    </x:row>
    <x:row r="7" ht="42" customHeight="1">
      <x:c r="A7" s="9" t="n">
        <x:v>2015</x:v>
      </x:c>
      <x:c r="B7" s="7" t="n">
        <x:f>'Evidence'!B10</x:f>
        <x:v>11.475709420318001</x:v>
      </x:c>
      <x:c r="C7" s="7" t="n">
        <x:f>'Evidence'!B9</x:f>
        <x:v>13.52013925195</x:v>
      </x:c>
      <x:c r="D7" s="7" t="n">
        <x:f>B7+C7</x:f>
        <x:v>24.995848672268004</x:v>
      </x:c>
      <x:c r="E7" s="8" t="str">
        <x:v>Department reported sales; national petrol and diesel</x:v>
      </x:c>
    </x:row>
    <x:row r="8" ht="42" customHeight="1">
      <x:c r="A8" s="9" t="n">
        <x:v>2016</x:v>
      </x:c>
      <x:c r="B8" s="7" t="n">
        <x:f>'Evidence'!B12</x:f>
        <x:v>11.462252466686001</x:v>
      </x:c>
      <x:c r="C8" s="7" t="n">
        <x:f>'Evidence'!B11</x:f>
        <x:v>12.082374038422001</x:v>
      </x:c>
      <x:c r="D8" s="7" t="n">
        <x:f>B8+C8</x:f>
        <x:v>23.544626505108003</x:v>
      </x:c>
      <x:c r="E8" s="8" t="str">
        <x:v>Department reported sales; national petrol and diesel</x:v>
      </x:c>
    </x:row>
    <x:row r="9" ht="42" customHeight="1">
      <x:c r="A9" s="9" t="n">
        <x:v>2017</x:v>
      </x:c>
      <x:c r="B9" s="7" t="n">
        <x:f>'Evidence'!B14</x:f>
        <x:v>11.174082980369999</x:v>
      </x:c>
      <x:c r="C9" s="7" t="n">
        <x:f>'Evidence'!B13</x:f>
        <x:v>12.147245167188997</x:v>
      </x:c>
      <x:c r="D9" s="7" t="n">
        <x:f>B9+C9</x:f>
        <x:v>23.321328147558994</x:v>
      </x:c>
      <x:c r="E9" s="8" t="str">
        <x:v>Department reported sales; national petrol and diesel</x:v>
      </x:c>
    </x:row>
    <x:row r="10" ht="42" customHeight="1">
      <x:c r="A10" s="9" t="n">
        <x:v>2018</x:v>
      </x:c>
      <x:c r="B10" s="7" t="n">
        <x:f>'Evidence'!B16</x:f>
        <x:v>11.141630546702</x:v>
      </x:c>
      <x:c r="C10" s="7" t="n">
        <x:f>'Evidence'!B15</x:f>
        <x:v>12.538744325998</x:v>
      </x:c>
      <x:c r="D10" s="7" t="n">
        <x:f>B10+C10</x:f>
        <x:v>23.6803748727</x:v>
      </x:c>
      <x:c r="E10" s="8" t="str">
        <x:v>Department reported sales; national petrol and diesel</x:v>
      </x:c>
    </x:row>
    <x:row r="11" ht="42" customHeight="1">
      <x:c r="A11" s="9" t="n">
        <x:v>2019</x:v>
      </x:c>
      <x:c r="B11" s="7" t="n">
        <x:f>'Evidence'!B18</x:f>
        <x:v>10.773208065062</x:v>
      </x:c>
      <x:c r="C11" s="7" t="n">
        <x:f>'Evidence'!B17</x:f>
        <x:v>12.908631232217</x:v>
      </x:c>
      <x:c r="D11" s="7" t="n">
        <x:f>B11+C11</x:f>
        <x:v>23.681839297278998</x:v>
      </x:c>
      <x:c r="E11" s="8" t="str">
        <x:v>Department reported sales; national petrol and diesel</x:v>
      </x:c>
    </x:row>
    <x:row r="12" ht="42" customHeight="1">
      <x:c r="A12" s="9" t="n">
        <x:v>2020</x:v>
      </x:c>
      <x:c r="B12" s="7" t="n">
        <x:f>'Evidence'!B20</x:f>
        <x:v>8.761470961496</x:v>
      </x:c>
      <x:c r="C12" s="7" t="n">
        <x:f>'Evidence'!B19</x:f>
        <x:v>11.689957759296</x:v>
      </x:c>
      <x:c r="D12" s="7" t="n">
        <x:f>B12+C12</x:f>
        <x:v>20.451428720792002</x:v>
      </x:c>
      <x:c r="E12" s="8" t="str">
        <x:v>Department reported sales; national petrol and diesel</x:v>
      </x:c>
    </x:row>
    <x:row r="13" ht="42" customHeight="1">
      <x:c r="A13" s="9" t="n">
        <x:v>2021</x:v>
      </x:c>
      <x:c r="B13" s="7" t="n">
        <x:f>'Evidence'!B22</x:f>
        <x:v>9.301584227683001</x:v>
      </x:c>
      <x:c r="C13" s="7" t="n">
        <x:f>'Evidence'!B21</x:f>
        <x:v>12.945782750434999</x:v>
      </x:c>
      <x:c r="D13" s="7" t="n">
        <x:f>B13+C13</x:f>
        <x:v>22.247366978118002</x:v>
      </x:c>
      <x:c r="E13" s="8" t="str">
        <x:v>Department reported sales; national petrol and diesel</x:v>
      </x:c>
    </x:row>
    <x:row r="14" ht="42" customHeight="1">
      <x:c r="A14" s="9" t="n">
        <x:v>2022</x:v>
      </x:c>
      <x:c r="B14" s="7" t="n">
        <x:f>'Evidence'!B24</x:f>
        <x:v>9.184869915573</x:v>
      </x:c>
      <x:c r="C14" s="7" t="n">
        <x:f>'Evidence'!B23</x:f>
        <x:v>12.717326319019001</x:v>
      </x:c>
      <x:c r="D14" s="7" t="n">
        <x:f>B14+C14</x:f>
        <x:v>21.902196234592</x:v>
      </x:c>
      <x:c r="E14" s="8" t="str">
        <x:v>Department reported sales; national petrol and diesel</x:v>
      </x:c>
    </x:row>
    <x:row r="15" ht="42" customHeight="1">
      <x:c r="A15" s="9" t="n">
        <x:v>2023</x:v>
      </x:c>
      <x:c r="B15" s="7" t="n">
        <x:f>'Evidence'!B26</x:f>
        <x:v>9.036950113492</x:v>
      </x:c>
      <x:c r="C15" s="7" t="n">
        <x:f>'Evidence'!B25</x:f>
        <x:v>12.907499965808</x:v>
      </x:c>
      <x:c r="D15" s="7" t="n">
        <x:f>B15+C15</x:f>
        <x:v>21.9444500793</x:v>
      </x:c>
      <x:c r="E15" s="8" t="str">
        <x:v>Department reported sales; national petrol and diesel</x:v>
      </x:c>
    </x:row>
    <x:row r="16" ht="42" customHeight="1">
      <x:c r="A16" s="9" t="n">
        <x:v>2024</x:v>
      </x:c>
      <x:c r="B16" s="7" t="n">
        <x:f>B15*(1+'Assumptions'!B5)*(1-'Assumptions'!B6)</x:f>
        <x:v>8.945902841098569</x:v>
      </x:c>
      <x:c r="C16" s="7" t="n">
        <x:f>(C15-'Assumptions'!B85)*(1+'Assumptions'!B7)+'Assumptions'!B86</x:f>
        <x:v>13.13520616546608</x:v>
      </x:c>
      <x:c r="D16" s="7" t="n">
        <x:f>B16+C16</x:f>
        <x:v>22.08110900656465</x:v>
      </x:c>
      <x:c r="E16" s="8" t="str">
        <x:v>Estimate from Department 2023 anchor; power FY proxy; explicit activity and efficiency assumptions</x:v>
      </x:c>
    </x:row>
    <x:row r="17" ht="42" customHeight="1">
      <x:c r="A17" s="9" t="n">
        <x:v>2025</x:v>
      </x:c>
      <x:c r="B17" s="7" t="n">
        <x:f>B16*(1+'Assumptions'!B5)*(1-'Assumptions'!B6)</x:f>
        <x:v>8.855772869974501</x:v>
      </x:c>
      <x:c r="C17" s="7" t="n">
        <x:f>(C16-'Assumptions'!B86)*(1+'Assumptions'!B7)+'Assumptions'!B87</x:f>
        <x:v>12.131615327120741</x:v>
      </x:c>
      <x:c r="D17" s="7" t="n">
        <x:f>B17+C17</x:f>
        <x:v>20.987388197095243</x:v>
      </x:c>
      <x:c r="E17" s="8" t="str">
        <x:v>Estimate from Department 2023 anchor; power FY proxy; explicit activity and efficiency assumptions</x:v>
      </x:c>
    </x:row>
    <x:row r="18" ht="42" customHeight="1">
      <x:c r="A18" s="8" t="str">
        <x:v>2024 FIASA</x:v>
      </x:c>
      <x:c r="B18" s="7" t="n">
        <x:f>'Evidence'!B28</x:f>
        <x:v>9.029</x:v>
      </x:c>
      <x:c r="C18" s="7" t="n">
        <x:f>'Evidence'!B27</x:f>
        <x:v>11.734</x:v>
      </x:c>
      <x:c r="D18" s="7" t="n">
        <x:f>B18+C18</x:f>
        <x:v>20.762999999999998</x:v>
      </x:c>
      <x:c r="E18" s="8" t="str">
        <x:v>Alternative source; not spliced into the Department series</x:v>
      </x:c>
    </x:row>
    <x:row r="19" ht="42" customHeight="1">
      <x:c r="A19" s="8" t="str">
        <x:v>2025 alternative</x:v>
      </x:c>
      <x:c r="B19" s="7" t="n">
        <x:f>B18*(1+'Assumptions'!B5)*(1-'Assumptions'!B6)</x:f>
        <x:v>8.938032824999999</x:v>
      </x:c>
      <x:c r="C19" s="7" t="n">
        <x:f>(C18-'Assumptions'!B86)*(1+'Assumptions'!B7)+'Assumptions'!B87</x:f>
        <x:v>10.7163971</x:v>
      </x:c>
      <x:c r="D19" s="7" t="n">
        <x:f>B19+C19</x:f>
        <x:v>19.654429925</x:v>
      </x:c>
      <x:c r="E19" s="8" t="str">
        <x:v>Same drivers applied to 2024 FIASA anchor; source-choice sensitivity</x:v>
      </x:c>
    </x:row>
    <x:row r="23">
      <x:c r="A23" s="18" t="str">
        <x:v>Year</x:v>
      </x:c>
      <x:c r="B23" s="18" t="str">
        <x:v>Petrol bn L</x:v>
      </x:c>
      <x:c r="C23" s="18" t="str">
        <x:v>Diesel bn L</x:v>
      </x:c>
    </x:row>
    <x:row r="24">
      <x:c r="A24" s="18" t="str">
        <x:v>2013</x:v>
      </x:c>
      <x:c r="B24" s="19" t="n">
        <x:f>B5</x:f>
        <x:v>11.439925235</x:v>
      </x:c>
      <x:c r="C24" s="19" t="n">
        <x:f>C5</x:f>
        <x:v>12.141281548</x:v>
      </x:c>
    </x:row>
    <x:row r="25">
      <x:c r="A25" s="18" t="str">
        <x:v>2014</x:v>
      </x:c>
      <x:c r="B25" s="19" t="n">
        <x:f>B6</x:f>
        <x:v>10.890207679</x:v>
      </x:c>
      <x:c r="C25" s="19" t="n">
        <x:f>C6</x:f>
        <x:v>12.615023359</x:v>
      </x:c>
    </x:row>
    <x:row r="26">
      <x:c r="A26" s="18" t="str">
        <x:v>2015</x:v>
      </x:c>
      <x:c r="B26" s="19" t="n">
        <x:f>B7</x:f>
        <x:v>11.475709420318001</x:v>
      </x:c>
      <x:c r="C26" s="19" t="n">
        <x:f>C7</x:f>
        <x:v>13.52013925195</x:v>
      </x:c>
    </x:row>
    <x:row r="27">
      <x:c r="A27" s="18" t="str">
        <x:v>2016</x:v>
      </x:c>
      <x:c r="B27" s="19" t="n">
        <x:f>B8</x:f>
        <x:v>11.462252466686001</x:v>
      </x:c>
      <x:c r="C27" s="19" t="n">
        <x:f>C8</x:f>
        <x:v>12.082374038422001</x:v>
      </x:c>
    </x:row>
    <x:row r="28">
      <x:c r="A28" s="18" t="str">
        <x:v>2017</x:v>
      </x:c>
      <x:c r="B28" s="19" t="n">
        <x:f>B9</x:f>
        <x:v>11.174082980369999</x:v>
      </x:c>
      <x:c r="C28" s="19" t="n">
        <x:f>C9</x:f>
        <x:v>12.147245167188997</x:v>
      </x:c>
    </x:row>
    <x:row r="29">
      <x:c r="A29" s="18" t="str">
        <x:v>2018</x:v>
      </x:c>
      <x:c r="B29" s="19" t="n">
        <x:f>B10</x:f>
        <x:v>11.141630546702</x:v>
      </x:c>
      <x:c r="C29" s="19" t="n">
        <x:f>C10</x:f>
        <x:v>12.538744325998</x:v>
      </x:c>
    </x:row>
    <x:row r="30">
      <x:c r="A30" s="18" t="str">
        <x:v>2019</x:v>
      </x:c>
      <x:c r="B30" s="19" t="n">
        <x:f>B11</x:f>
        <x:v>10.773208065062</x:v>
      </x:c>
      <x:c r="C30" s="19" t="n">
        <x:f>C11</x:f>
        <x:v>12.908631232217</x:v>
      </x:c>
    </x:row>
    <x:row r="31">
      <x:c r="A31" s="18" t="str">
        <x:v>2020</x:v>
      </x:c>
      <x:c r="B31" s="19" t="n">
        <x:f>B12</x:f>
        <x:v>8.761470961496</x:v>
      </x:c>
      <x:c r="C31" s="19" t="n">
        <x:f>C12</x:f>
        <x:v>11.689957759296</x:v>
      </x:c>
    </x:row>
    <x:row r="32">
      <x:c r="A32" s="18" t="str">
        <x:v>2021</x:v>
      </x:c>
      <x:c r="B32" s="19" t="n">
        <x:f>B13</x:f>
        <x:v>9.301584227683001</x:v>
      </x:c>
      <x:c r="C32" s="19" t="n">
        <x:f>C13</x:f>
        <x:v>12.945782750434999</x:v>
      </x:c>
    </x:row>
    <x:row r="33">
      <x:c r="A33" s="18" t="str">
        <x:v>2022</x:v>
      </x:c>
      <x:c r="B33" s="19" t="n">
        <x:f>B14</x:f>
        <x:v>9.184869915573</x:v>
      </x:c>
      <x:c r="C33" s="19" t="n">
        <x:f>C14</x:f>
        <x:v>12.717326319019001</x:v>
      </x:c>
    </x:row>
    <x:row r="34">
      <x:c r="A34" s="18" t="str">
        <x:v>2023</x:v>
      </x:c>
      <x:c r="B34" s="19" t="n">
        <x:f>B15</x:f>
        <x:v>9.036950113492</x:v>
      </x:c>
      <x:c r="C34" s="19" t="n">
        <x:f>C15</x:f>
        <x:v>12.907499965808</x:v>
      </x:c>
    </x:row>
    <x:row r="35">
      <x:c r="A35" s="18" t="str">
        <x:v>2024</x:v>
      </x:c>
      <x:c r="B35" s="19" t="n">
        <x:f>B16</x:f>
        <x:v>8.945902841098569</x:v>
      </x:c>
      <x:c r="C35" s="19" t="n">
        <x:f>C16</x:f>
        <x:v>13.13520616546608</x:v>
      </x:c>
    </x:row>
    <x:row r="36">
      <x:c r="A36" s="18" t="str">
        <x:v>2025</x:v>
      </x:c>
      <x:c r="B36" s="19" t="n">
        <x:f>B17</x:f>
        <x:v>8.855772869974501</x:v>
      </x:c>
      <x:c r="C36" s="19" t="n">
        <x:f>C17</x:f>
        <x:v>12.131615327120741</x:v>
      </x:c>
    </x:row>
  </x:sheetData>
  <x:pageMargins left="0.7" right="0.7" top="0.75" bottom="0.75" header="0.3" footer="0.3"/>
  <x:drawing xmlns:r="http://schemas.openxmlformats.org/officeDocument/2006/relationships" r:id="Rac911eaf98894d1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75" hidden="0" customWidth="1"/>
  </x:cols>
  <x:sheetData>
    <x:row r="1" ht="27" customHeight="1">
      <x:c r="A1" s="3" t="str">
        <x:v>2025 demand by use</x:v>
      </x:c>
      <x:c r="B1" s="2"/>
      <x:c r="C1" s="2"/>
      <x:c r="D1" s="2"/>
      <x:c r="E1" s="2"/>
      <x:c r="F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  <x:c r="E2" s="2"/>
      <x:c r="F2" s="2"/>
    </x:row>
    <x:row r="3" ht="42" customHeight="1">
      <x:c r="A3" s="2"/>
      <x:c r="B3" s="2"/>
      <x:c r="C3" s="2"/>
      <x:c r="D3" s="2"/>
      <x:c r="E3" s="2"/>
      <x:c r="F3" s="2"/>
    </x:row>
    <x:row r="4" ht="40" customHeight="1">
      <x:c r="A4" s="6" t="str">
        <x:v>Segment</x:v>
      </x:c>
      <x:c r="B4" s="6" t="str">
        <x:v>2023 bn L</x:v>
      </x:c>
      <x:c r="C4" s="6" t="str">
        <x:v>2024 bn L</x:v>
      </x:c>
      <x:c r="D4" s="6" t="str">
        <x:v>2025 bn L</x:v>
      </x:c>
      <x:c r="E4" s="6" t="str">
        <x:v>2023-25 change</x:v>
      </x:c>
      <x:c r="F4" s="6" t="str">
        <x:v>Treatment</x:v>
      </x:c>
    </x:row>
    <x:row r="5" ht="72" customHeight="1">
      <x:c r="A5" s="8" t="str">
        <x:v>Petrol road use</x:v>
      </x:c>
      <x:c r="B5" s="7" t="n">
        <x:f>'Demand history'!B15*'Assumptions'!B9</x:f>
        <x:v>8.765841610087241</x:v>
      </x:c>
      <x:c r="C5" s="7" t="n">
        <x:f>'Demand history'!B16*'Assumptions'!B9</x:f>
        <x:v>8.677525755865611</x:v>
      </x:c>
      <x:c r="D5" s="7" t="n">
        <x:f>'Demand history'!B17*'Assumptions'!B9</x:f>
        <x:v>8.590099683875266</x:v>
      </x:c>
      <x:c r="E5" s="7" t="n">
        <x:f>D5-B5</x:f>
        <x:v>-0.17574192621197504</x:v>
      </x:c>
      <x:c r="F5" s="8" t="str">
        <x:v>97% road-use allocation; includes cars and commercial vehicles, not passenger-only</x:v>
      </x:c>
    </x:row>
    <x:row r="6" ht="72" customHeight="1">
      <x:c r="A6" s="8" t="str">
        <x:v>Mining</x:v>
      </x:c>
      <x:c r="B6" s="7" t="n">
        <x:f>((('Evidence'!B30/'Evidence'!B48)+('Evidence'!B35/'Evidence'!B49)+('Evidence'!B39/'Evidence'!B50)+('Evidence'!B44/'Evidence'!B51))/4)*'Evidence'!B53</x:f>
        <x:v>1.3959664570874284</x:v>
      </x:c>
      <x:c r="C6" s="7" t="n">
        <x:f>((('Evidence'!B30/'Evidence'!B48)+('Evidence'!B35/'Evidence'!B49)+('Evidence'!B39/'Evidence'!B50)+('Evidence'!B44/'Evidence'!B51))/4)*'Evidence'!B54</x:f>
        <x:v>1.4037204366913902</x:v>
      </x:c>
      <x:c r="D6" s="7" t="n">
        <x:f>((('Evidence'!B30/'Evidence'!B48)+('Evidence'!B35/'Evidence'!B49)+('Evidence'!B39/'Evidence'!B50)+('Evidence'!B44/'Evidence'!B51))/4)*'Evidence'!B55</x:f>
        <x:v>1.406346784621764</x:v>
      </x:c>
      <x:c r="E6" s="7" t="n">
        <x:f>D6-B6</x:f>
        <x:v>0.01038032753433571</x:v>
      </x:c>
      <x:c r="F6" s="8" t="str">
        <x:v>2018-2021 mean fuel/activity intensity x annual activity; manufacturing is industry less mining and construction. Sector road use retained here.</x:v>
      </x:c>
    </x:row>
    <x:row r="7" ht="72" customHeight="1">
      <x:c r="A7" s="8" t="str">
        <x:v>Manufacturing</x:v>
      </x:c>
      <x:c r="B7" s="7" t="n">
        <x:f>(((('Evidence'!B29-'Evidence'!B30-'Evidence'!B31)/'Evidence'!B56)+(('Evidence'!B34-'Evidence'!B35-'Assumptions'!B49)/'Evidence'!B57)+(('Evidence'!B38-'Evidence'!B39-'Evidence'!B40)/'Evidence'!B58)+(('Evidence'!B43-'Evidence'!B44-'Evidence'!B45)/'Evidence'!B59))/4)*'Evidence'!B61</x:f>
        <x:v>0.16789786744139165</x:v>
      </x:c>
      <x:c r="C7" s="7" t="n">
        <x:f>(((('Evidence'!B29-'Evidence'!B30-'Evidence'!B31)/'Evidence'!B56)+(('Evidence'!B34-'Evidence'!B35-'Assumptions'!B49)/'Evidence'!B57)+(('Evidence'!B38-'Evidence'!B39-'Evidence'!B40)/'Evidence'!B58)+(('Evidence'!B43-'Evidence'!B44-'Evidence'!B45)/'Evidence'!B59))/4)*'Evidence'!B62</x:f>
        <x:v>0.16721110753544252</x:v>
      </x:c>
      <x:c r="D7" s="7" t="n">
        <x:f>(((('Evidence'!B29-'Evidence'!B30-'Evidence'!B31)/'Evidence'!B56)+(('Evidence'!B34-'Evidence'!B35-'Assumptions'!B49)/'Evidence'!B57)+(('Evidence'!B38-'Evidence'!B39-'Evidence'!B40)/'Evidence'!B58)+(('Evidence'!B43-'Evidence'!B44-'Evidence'!B45)/'Evidence'!B59))/4)*'Evidence'!B63</x:f>
        <x:v>0.16507618000173108</x:v>
      </x:c>
      <x:c r="E7" s="7" t="n">
        <x:f>D7-B7</x:f>
        <x:v>-0.002821687439660575</x:v>
      </x:c>
      <x:c r="F7" s="8" t="str">
        <x:v>2018-2021 mean fuel/activity intensity x annual activity; manufacturing is industry less mining and construction. Sector road use retained here.</x:v>
      </x:c>
    </x:row>
    <x:row r="8" ht="72" customHeight="1">
      <x:c r="A8" s="8" t="str">
        <x:v>Agriculture</x:v>
      </x:c>
      <x:c r="B8" s="7" t="n">
        <x:f>((('Evidence'!B33/'Evidence'!B64)+('Evidence'!B37/'Evidence'!B65)+('Evidence'!B42/'Evidence'!B66)+('Evidence'!B47/'Evidence'!B67))/4)*'Evidence'!B69</x:f>
        <x:v>1.0552755203659356</x:v>
      </x:c>
      <x:c r="C8" s="7" t="n">
        <x:f>((('Evidence'!B33/'Evidence'!B64)+('Evidence'!B37/'Evidence'!B65)+('Evidence'!B42/'Evidence'!B66)+('Evidence'!B47/'Evidence'!B67))/4)*'Evidence'!B70</x:f>
        <x:v>0.9633403153504746</x:v>
      </x:c>
      <x:c r="D8" s="7" t="n">
        <x:f>((('Evidence'!B33/'Evidence'!B64)+('Evidence'!B37/'Evidence'!B65)+('Evidence'!B42/'Evidence'!B66)+('Evidence'!B47/'Evidence'!B67))/4)*'Evidence'!B71</x:f>
        <x:v>1.1312246982365153</x:v>
      </x:c>
      <x:c r="E8" s="7" t="n">
        <x:f>D8-B8</x:f>
        <x:v>0.07594917787057964</x:v>
      </x:c>
      <x:c r="F8" s="8" t="str">
        <x:v>2018-2021 mean fuel/activity intensity x annual activity; manufacturing is industry less mining and construction. Sector road use retained here.</x:v>
      </x:c>
    </x:row>
    <x:row r="9" ht="72" customHeight="1">
      <x:c r="A9" s="8" t="str">
        <x:v>Utility and private power</x:v>
      </x:c>
      <x:c r="B9" s="7" t="n">
        <x:f>'Assumptions'!B85</x:f>
        <x:v>2.0778800000000004</x:v>
      </x:c>
      <x:c r="C9" s="7" t="n">
        <x:f>'Assumptions'!B86</x:f>
        <x:v>2.19729</x:v>
      </x:c>
      <x:c r="D9" s="7" t="n">
        <x:f>'Assumptions'!B87</x:f>
        <x:v>1.08432</x:v>
      </x:c>
      <x:c r="E9" s="7" t="n">
        <x:f>D9-B9</x:f>
        <x:v>-0.9935600000000004</x:v>
      </x:c>
      <x:c r="F9" s="8" t="str">
        <x:v>FY utility proxy; private backup 0.8/0.6/0.2bn L in 2023/24/25 is an assumption. No addition to national total.</x:v>
      </x:c>
    </x:row>
    <x:row r="10" ht="72" customHeight="1">
      <x:c r="A10" s="8" t="str">
        <x:v>Road freight diesel</x:v>
      </x:c>
      <x:c r="B10" s="7" t="n">
        <x:f>('Evidence'!B46*(1+'Assumptions'!B7)^2)*'Assumptions'!B10</x:f>
        <x:v>4.841361915996</x:v>
      </x:c>
      <x:c r="C10" s="7" t="n">
        <x:f>(('Evidence'!B46*(1+'Assumptions'!B7)^2)*(1+'Assumptions'!B7)*(1-'Assumptions'!B8))*'Assumptions'!B10</x:f>
        <x:v>4.86532665748018</x:v>
      </x:c>
      <x:c r="D10" s="7" t="n">
        <x:f>((('Evidence'!B46*(1+'Assumptions'!B7)^2)*(1+'Assumptions'!B7)*(1-'Assumptions'!B8))*('Evidence'!B83/'Evidence'!B81)*(1-'Assumptions'!B8))*'Assumptions'!B10</x:f>
        <x:v>4.824547112387935</x:v>
      </x:c>
      <x:c r="E10" s="7" t="n">
        <x:f>D10-B10</x:f>
        <x:v>-0.016814803608064643</x:v>
      </x:c>
      <x:c r="F10" s="8" t="str">
        <x:v>75% assumed share of road diesel. Road excludes sector-attributed purchases by convention; 2025 all-goods tonnes proxy activity, constant distance/mix.</x:v>
      </x:c>
    </x:row>
    <x:row r="11" ht="72" customHeight="1">
      <x:c r="A11" s="8" t="str">
        <x:v>Other road diesel</x:v>
      </x:c>
      <x:c r="B11" s="7" t="n">
        <x:f>('Evidence'!B46*(1+'Assumptions'!B7)^2)*(1-'Assumptions'!B10)</x:f>
        <x:v>1.613787305332</x:v>
      </x:c>
      <x:c r="C11" s="7" t="n">
        <x:f>(('Evidence'!B46*(1+'Assumptions'!B7)^2)*(1+'Assumptions'!B7)*(1-'Assumptions'!B8))*(1-'Assumptions'!B10)</x:f>
        <x:v>1.6217755524933932</x:v>
      </x:c>
      <x:c r="D11" s="7" t="n">
        <x:f>((('Evidence'!B46*(1+'Assumptions'!B7)^2)*(1+'Assumptions'!B7)*(1-'Assumptions'!B8))*('Evidence'!B83/'Evidence'!B81)*(1-'Assumptions'!B8))*(1-'Assumptions'!B10)</x:f>
        <x:v>1.6081823707959784</x:v>
      </x:c>
      <x:c r="E11" s="7" t="n">
        <x:f>D11-B11</x:f>
        <x:v>-0.005604934536021622</x:v>
      </x:c>
      <x:c r="F11" s="8" t="str">
        <x:v>Passenger, light commercial and buses; complementary share of road diesel</x:v>
      </x:c>
    </x:row>
    <x:row r="12" ht="72" customHeight="1">
      <x:c r="A12" s="8" t="str">
        <x:v>Other petrol</x:v>
      </x:c>
      <x:c r="B12" s="7" t="n">
        <x:f>'Demand history'!B15*(1-'Assumptions'!B9)</x:f>
        <x:v>0.2711085034047603</x:v>
      </x:c>
      <x:c r="C12" s="7" t="n">
        <x:f>'Demand history'!B16*(1-'Assumptions'!B9)</x:f>
        <x:v>0.2683770852329573</x:v>
      </x:c>
      <x:c r="D12" s="7" t="n">
        <x:f>'Demand history'!B17*(1-'Assumptions'!B9)</x:f>
        <x:v>0.2656731860992353</x:v>
      </x:c>
      <x:c r="E12" s="7" t="n">
        <x:f>D12-B12</x:f>
        <x:v>-0.005435317305524989</x:v>
      </x:c>
      <x:c r="F12" s="8" t="str">
        <x:v>Complement of assumed road petrol share</x:v>
      </x:c>
    </x:row>
    <x:row r="13" ht="72" customHeight="1">
      <x:c r="A13" s="8" t="str">
        <x:v>Other diesel / unallocated</x:v>
      </x:c>
      <x:c r="B13" s="7" t="n">
        <x:f>'Demand history'!C15-B6-B7-B8-B9-B10-B11</x:f>
        <x:v>1.7553308995852444</x:v>
      </x:c>
      <x:c r="C13" s="7" t="n">
        <x:f>'Demand history'!C16-C6-C7-C8-C9-C10-C11</x:f>
        <x:v>1.9165420959151986</x:v>
      </x:c>
      <x:c r="D13" s="7" t="n">
        <x:f>'Demand history'!C17-D6-D7-D8-D9-D10-D11</x:f>
        <x:v>1.9119181810768164</x:v>
      </x:c>
      <x:c r="E13" s="7" t="n">
        <x:f>D13-B13</x:f>
        <x:v>0.15658728149157208</x:v>
      </x:c>
      <x:c r="F13" s="8" t="str">
        <x:v>Explicit residual: commercial/public, construction, rail, marine and classification differences. Not assigned to freight or manufacturing.</x:v>
      </x:c>
    </x:row>
    <x:row r="14" ht="72" customHeight="1">
      <x:c r="A14" s="8" t="str">
        <x:v>Total</x:v>
      </x:c>
      <x:c r="B14" s="7" t="n">
        <x:f>B5+B6+B7+B8+B9+B10+B11+B12+B13</x:f>
        <x:v>21.944450079300005</x:v>
      </x:c>
      <x:c r="C14" s="7" t="n">
        <x:f>C5+C6+C7+C8+C9+C10+C11+C12+C13</x:f>
        <x:v>22.081109006564645</x:v>
      </x:c>
      <x:c r="D14" s="7" t="n">
        <x:f>D5+D6+D7+D8+D9+D10+D11+D12+D13</x:f>
        <x:v>20.987388197095246</x:v>
      </x:c>
      <x:c r="E14" s="7" t="n">
        <x:f>D14-B14</x:f>
        <x:v>-0.9570618822047585</x:v>
      </x:c>
      <x:c r="F14" s="8" t="str">
        <x:v>Reconciles to independent national demand estimate; detailed use allocation remains estimated</x:v>
      </x:c>
    </x:row>
    <x:row r="15" ht="72" customHeight="1">
      <x:c r="A15" s="8" t="str">
        <x:v>Allocation less national total</x:v>
      </x:c>
      <x:c r="B15" s="7" t="n">
        <x:f>B14-'Demand history'!D15</x:f>
        <x:v>3.552713678800501e-15</x:v>
      </x:c>
      <x:c r="C15" s="7" t="n">
        <x:f>C14-'Demand history'!D16</x:f>
        <x:v>-3.552713678800501e-15</x:v>
      </x:c>
      <x:c r="D15" s="7" t="n">
        <x:f>D14-'Demand history'!D17</x:f>
        <x:v>3.552713678800501e-15</x:v>
      </x:c>
      <x:c r="E15" s="7" t="n">
        <x:f>D15-B15</x:f>
        <x:v>0</x:v>
      </x:c>
      <x:c r="F15" s="8" t="str">
        <x:v>Arithmetic reconciliation; zero does not establish empirical sector coverage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75" hidden="0" customWidth="1"/>
  </x:cols>
  <x:sheetData>
    <x:row r="1" ht="27" customHeight="1">
      <x:c r="A1" s="3" t="str">
        <x:v>2025 domestic petrol and diesel supply estimate</x:v>
      </x:c>
      <x:c r="B1" s="2"/>
      <x:c r="C1" s="2"/>
      <x:c r="D1" s="2"/>
      <x:c r="E1" s="2"/>
      <x:c r="F1" s="2"/>
      <x:c r="G1" s="2"/>
      <x:c r="H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  <x:c r="E2" s="2"/>
      <x:c r="F2" s="2"/>
      <x:c r="G2" s="2"/>
      <x:c r="H2" s="2"/>
    </x:row>
    <x:row r="3" ht="42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Plant</x:v>
      </x:c>
      <x:c r="B4" s="6" t="str">
        <x:v>All products bn L</x:v>
      </x:c>
      <x:c r="C4" s="6" t="str">
        <x:v>Petrol yield</x:v>
      </x:c>
      <x:c r="D4" s="6" t="str">
        <x:v>Diesel yield</x:v>
      </x:c>
      <x:c r="E4" s="6" t="str">
        <x:v>Petrol bn L</x:v>
      </x:c>
      <x:c r="F4" s="6" t="str">
        <x:v>Diesel bn L</x:v>
      </x:c>
      <x:c r="G4" s="6" t="str">
        <x:v>Total P+D bn L</x:v>
      </x:c>
      <x:c r="H4" s="6" t="str">
        <x:v>Basis</x:v>
      </x:c>
    </x:row>
    <x:row r="5" ht="72" customHeight="1">
      <x:c r="A5" s="8" t="str">
        <x:v>Secunda</x:v>
      </x:c>
      <x:c r="B5" s="7" t="n">
        <x:f>'Evidence'!B142*'Assumptions'!B16/1000</x:f>
        <x:v>4.388049340012801</x:v>
      </x:c>
      <x:c r="C5" s="10" t="n">
        <x:f>'Assumptions'!B18*'Assumptions'!B19</x:f>
        <x:v>0.5850000000000001</x:v>
      </x:c>
      <x:c r="D5" s="10" t="n">
        <x:f>'Assumptions'!B18*(1-'Assumptions'!B19)</x:f>
        <x:v>0.315</x:v>
      </x:c>
      <x:c r="E5" s="7" t="n">
        <x:f>B5*C5</x:f>
        <x:v>2.5670088639074886</x:v>
      </x:c>
      <x:c r="F5" s="7" t="n">
        <x:f>B5*D5</x:f>
        <x:v>1.3822355421040322</x:v>
      </x:c>
      <x:c r="G5" s="7" t="n">
        <x:f>E5+F5</x:f>
        <x:v>3.9492444060115206</x:v>
      </x:c>
      <x:c r="H5" s="8" t="str">
        <x:v>FY2025 all-refined-products proxy for calendar 2025; excludes chemical output</x:v>
      </x:c>
    </x:row>
    <x:row r="6" ht="72" customHeight="1">
      <x:c r="A6" s="8" t="str">
        <x:v>Natref</x:v>
      </x:c>
      <x:c r="B6" s="7" t="n">
        <x:f>'Evidence'!B143/'Assumptions'!B20*'Assumptions'!B16/1000</x:f>
        <x:v>3.6723966615989947</x:v>
      </x:c>
      <x:c r="C6" s="10" t="n">
        <x:f>'Assumptions'!B21</x:f>
        <x:v>0.305</x:v>
      </x:c>
      <x:c r="D6" s="10" t="n">
        <x:f>'Assumptions'!B22</x:f>
        <x:v>0.34</x:v>
      </x:c>
      <x:c r="E6" s="7" t="n">
        <x:f>B6*C6</x:f>
        <x:v>1.1200809817876933</x:v>
      </x:c>
      <x:c r="F6" s="7" t="n">
        <x:f>B6*D6</x:f>
        <x:v>1.2486148649436584</x:v>
      </x:c>
      <x:c r="G6" s="7" t="n">
        <x:f>E6+F6</x:f>
        <x:v>2.3686958467313515</x:v>
      </x:c>
      <x:c r="H6" s="8" t="str">
        <x:v>FY2025 share basis only. FY2026 includes above-share output and is not mechanically grossed up.</x:v>
      </x:c>
    </x:row>
    <x:row r="7" ht="72" customHeight="1">
      <x:c r="A7" s="8" t="str">
        <x:v>Astron</x:v>
      </x:c>
      <x:c r="B7" s="7" t="n">
        <x:f>'Evidence'!B147*'Assumptions'!B17/'Assumptions'!B25</x:f>
        <x:v>4.8849085976306</x:v>
      </x:c>
      <x:c r="C7" s="10" t="n">
        <x:f>'Assumptions'!B23*'Assumptions'!B24</x:f>
        <x:v>0.4</x:v>
      </x:c>
      <x:c r="D7" s="10" t="n">
        <x:f>'Assumptions'!B23*(1-'Assumptions'!B24)</x:f>
        <x:v>0.4</x:v>
      </x:c>
      <x:c r="E7" s="7" t="n">
        <x:f>B7*C7</x:f>
        <x:v>1.9539634390522402</x:v>
      </x:c>
      <x:c r="F7" s="7" t="n">
        <x:f>B7*D7</x:f>
        <x:v>1.9539634390522402</x:v>
      </x:c>
      <x:c r="G7" s="7" t="n">
        <x:f>E7+F7</x:f>
        <x:v>3.9079268781044805</x:v>
      </x:c>
      <x:c r="H7" s="8" t="str">
        <x:v>Calendar 2025 billion Btu converted to bn litres; energy density and product split assumed</x:v>
      </x:c>
    </x:row>
    <x:row r="8" ht="72" customHeight="1">
      <x:c r="A8" s="8" t="str">
        <x:v>SAPREF</x:v>
      </x:c>
      <x:c r="B8" s="7" t="n">
        <x:f>0</x:f>
        <x:v>0</x:v>
      </x:c>
      <x:c r="C8" s="10" t="n">
        <x:f>0</x:f>
        <x:v>0</x:v>
      </x:c>
      <x:c r="D8" s="10" t="n">
        <x:f>0</x:f>
        <x:v>0</x:v>
      </x:c>
      <x:c r="E8" s="7" t="n">
        <x:f>B8*C8</x:f>
        <x:v>0</x:v>
      </x:c>
      <x:c r="F8" s="7" t="n">
        <x:f>B8*D8</x:f>
        <x:v>0</x:v>
      </x:c>
      <x:c r="G8" s="7" t="n">
        <x:f>E8+F8</x:f>
        <x:v>0</x:v>
      </x:c>
      <x:c r="H8" s="8" t="str">
        <x:v>No refining output in 2025; terminal activity is not production</x:v>
      </x:c>
    </x:row>
    <x:row r="9" ht="72" customHeight="1">
      <x:c r="A9" s="8" t="str">
        <x:v>PetroSA</x:v>
      </x:c>
      <x:c r="B9" s="7" t="n">
        <x:f>0</x:f>
        <x:v>0</x:v>
      </x:c>
      <x:c r="C9" s="10" t="n">
        <x:f>0</x:f>
        <x:v>0</x:v>
      </x:c>
      <x:c r="D9" s="10" t="n">
        <x:f>0</x:f>
        <x:v>0</x:v>
      </x:c>
      <x:c r="E9" s="7" t="n">
        <x:f>B9*C9</x:f>
        <x:v>0</x:v>
      </x:c>
      <x:c r="F9" s="7" t="n">
        <x:f>B9*D9</x:f>
        <x:v>0</x:v>
      </x:c>
      <x:c r="G9" s="7" t="n">
        <x:f>E9+F9</x:f>
        <x:v>0</x:v>
      </x:c>
      <x:c r="H9" s="8" t="str">
        <x:v>No refining output in 2025; terminal activity is not production</x:v>
      </x:c>
    </x:row>
    <x:row r="10" ht="72" customHeight="1">
      <x:c r="A10" s="8" t="str">
        <x:v>Enref</x:v>
      </x:c>
      <x:c r="B10" s="7" t="n">
        <x:f>0</x:f>
        <x:v>0</x:v>
      </x:c>
      <x:c r="C10" s="10" t="n">
        <x:f>0</x:f>
        <x:v>0</x:v>
      </x:c>
      <x:c r="D10" s="10" t="n">
        <x:f>0</x:f>
        <x:v>0</x:v>
      </x:c>
      <x:c r="E10" s="7" t="n">
        <x:f>B10*C10</x:f>
        <x:v>0</x:v>
      </x:c>
      <x:c r="F10" s="7" t="n">
        <x:f>B10*D10</x:f>
        <x:v>0</x:v>
      </x:c>
      <x:c r="G10" s="7" t="n">
        <x:f>E10+F10</x:f>
        <x:v>0</x:v>
      </x:c>
      <x:c r="H10" s="8" t="str">
        <x:v>No refining output in 2025; terminal activity is not production</x:v>
      </x:c>
    </x:row>
    <x:row r="11" ht="72" customHeight="1">
      <x:c r="A11" s="8" t="str">
        <x:v>Total</x:v>
      </x:c>
      <x:c r="B11" s="7" t="n">
        <x:f>B5+B6+B7+B8+B9+B10</x:f>
        <x:v>12.945354599242396</x:v>
      </x:c>
      <x:c r="C11" s="2"/>
      <x:c r="D11" s="2"/>
      <x:c r="E11" s="7" t="n">
        <x:f>E5+E6+E7+E8+E9+E10</x:f>
        <x:v>5.6410532847474215</x:v>
      </x:c>
      <x:c r="F11" s="7" t="n">
        <x:f>F5+F6+F7+F8+F9+F10</x:f>
        <x:v>4.58481384609993</x:v>
      </x:c>
      <x:c r="G11" s="7" t="n">
        <x:f>G5+G6+G7+G8+G9+G10</x:f>
        <x:v>10.225867130847352</x:v>
      </x:c>
      <x:c r="H11" s="8" t="str">
        <x:v>Petrol/diesel subset only; plant production is estimated, not national reported output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9" hidden="0" customWidth="1"/>
    <x:col min="3" max="3" width="19" hidden="0" customWidth="1"/>
    <x:col min="4" max="4" width="19" hidden="0" customWidth="1"/>
    <x:col min="5" max="5" width="75" hidden="0" customWidth="1"/>
  </x:cols>
  <x:sheetData>
    <x:row r="1" ht="27" customHeight="1">
      <x:c r="A1" s="3" t="str">
        <x:v>Demand and supply reconciliation</x:v>
      </x:c>
      <x:c r="B1" s="2"/>
      <x:c r="C1" s="2"/>
      <x:c r="D1" s="2"/>
      <x:c r="E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  <x:c r="E2" s="2"/>
    </x:row>
    <x:row r="3" ht="42" customHeight="1">
      <x:c r="A3" s="2"/>
      <x:c r="B3" s="2"/>
      <x:c r="C3" s="2"/>
      <x:c r="D3" s="2"/>
      <x:c r="E3" s="2"/>
    </x:row>
    <x:row r="4" ht="40" customHeight="1">
      <x:c r="A4" s="6" t="str">
        <x:v>Measure</x:v>
      </x:c>
      <x:c r="B4" s="6" t="str">
        <x:v>Petrol bn L</x:v>
      </x:c>
      <x:c r="C4" s="6" t="str">
        <x:v>Diesel bn L</x:v>
      </x:c>
      <x:c r="D4" s="6" t="str">
        <x:v>Total bn L</x:v>
      </x:c>
      <x:c r="E4" s="6" t="str">
        <x:v>Treatment</x:v>
      </x:c>
    </x:row>
    <x:row r="5" ht="72" customHeight="1">
      <x:c r="A5" s="8" t="str">
        <x:v>2025 demand</x:v>
      </x:c>
      <x:c r="B5" s="7" t="n">
        <x:f>'Demand history'!B17</x:f>
        <x:v>8.855772869974501</x:v>
      </x:c>
      <x:c r="C5" s="7" t="n">
        <x:f>'Demand history'!C17</x:f>
        <x:v>12.131615327120741</x:v>
      </x:c>
      <x:c r="D5" s="7" t="n">
        <x:f>B5+C5</x:f>
        <x:v>20.987388197095243</x:v>
      </x:c>
      <x:c r="E5" s="8" t="str">
        <x:v>Department anchored estimate</x:v>
      </x:c>
    </x:row>
    <x:row r="6" ht="72" customHeight="1">
      <x:c r="A6" s="8" t="str">
        <x:v>Domestic production</x:v>
      </x:c>
      <x:c r="B6" s="7" t="n">
        <x:f>'Plant supply'!E11</x:f>
        <x:v>5.6410532847474215</x:v>
      </x:c>
      <x:c r="C6" s="7" t="n">
        <x:f>'Plant supply'!F11</x:f>
        <x:v>4.58481384609993</x:v>
      </x:c>
      <x:c r="D6" s="7" t="n">
        <x:f>B6+C6</x:f>
        <x:v>10.225867130847352</x:v>
      </x:c>
      <x:c r="E6" s="8" t="str">
        <x:v>Plant-output estimate with explicit product yields</x:v>
      </x:c>
    </x:row>
    <x:row r="7" ht="72" customHeight="1">
      <x:c r="A7" s="8" t="str">
        <x:v>Gross customs imports</x:v>
      </x:c>
      <x:c r="B7" s="7" t="n">
        <x:f>'Evidence'!B136</x:f>
        <x:v>4.45347117815</x:v>
      </x:c>
      <x:c r="C7" s="7" t="n">
        <x:f>'Evidence'!B138</x:f>
        <x:v>12.24872026207</x:v>
      </x:c>
      <x:c r="D7" s="7" t="n">
        <x:f>B7+C7</x:f>
        <x:v>16.70219144022</x:v>
      </x:c>
      <x:c r="E7" s="8" t="str">
        <x:v>Recorded litres, calendar 2025</x:v>
      </x:c>
    </x:row>
    <x:row r="8" ht="72" customHeight="1">
      <x:c r="A8" s="8" t="str">
        <x:v>Customs exports</x:v>
      </x:c>
      <x:c r="B8" s="7" t="n">
        <x:f>'Evidence'!B137</x:f>
        <x:v>0.801762466</x:v>
      </x:c>
      <x:c r="C8" s="7" t="n">
        <x:f>'Evidence'!B139</x:f>
        <x:v>0.74670021007</x:v>
      </x:c>
      <x:c r="D8" s="7" t="n">
        <x:f>B8+C8</x:f>
        <x:v>1.54846267607</x:v>
      </x:c>
      <x:c r="E8" s="8" t="str">
        <x:v>Recorded litres, calendar 2025</x:v>
      </x:c>
    </x:row>
    <x:row r="9" ht="72" customHeight="1">
      <x:c r="A9" s="8" t="str">
        <x:v>Supply plus net imports</x:v>
      </x:c>
      <x:c r="B9" s="7" t="n">
        <x:f>B6+B7-B8</x:f>
        <x:v>9.292761996897422</x:v>
      </x:c>
      <x:c r="C9" s="7" t="n">
        <x:f>C6+C7-C8</x:f>
        <x:v>16.08683389809993</x:v>
      </x:c>
      <x:c r="D9" s="7" t="n">
        <x:f>B9+C9</x:f>
        <x:v>25.37959589499735</x:v>
      </x:c>
      <x:c r="E9" s="8" t="str">
        <x:v>Availability before stock changes and statistical/scope differences</x:v>
      </x:c>
    </x:row>
    <x:row r="10" ht="72" customHeight="1">
      <x:c r="A10" s="13" t="str">
        <x:v>Unexplained availability less demand</x:v>
      </x:c>
      <x:c r="B10" s="14" t="n">
        <x:f>B9-B5</x:f>
        <x:v>0.4369891269229207</x:v>
      </x:c>
      <x:c r="C10" s="14" t="n">
        <x:f>C9-C5</x:f>
        <x:v>3.955218570979188</x:v>
      </x:c>
      <x:c r="D10" s="14" t="n">
        <x:f>B10+C10</x:f>
        <x:v>4.3922076979021085</x:v>
      </x:c>
      <x:c r="E10" s="13" t="str">
        <x:v>Not assigned to stocks or concealed in demand; investigate sales coverage, FY conversion, yields, customs scope and re-exports</x:v>
      </x:c>
    </x:row>
    <x:row r="11" ht="72" customHeight="1">
      <x:c r="A11" s="8" t="str">
        <x:v>Demand-implied gross imports</x:v>
      </x:c>
      <x:c r="B11" s="7" t="n">
        <x:f>B5-B6+B8</x:f>
        <x:v>4.016482051227079</x:v>
      </x:c>
      <x:c r="C11" s="7" t="n">
        <x:f>C5-C6+C8</x:f>
        <x:v>8.29350169109081</x:v>
      </x:c>
      <x:c r="D11" s="7" t="n">
        <x:f>B11+C11</x:f>
        <x:v>12.30998374231789</x:v>
      </x:c>
      <x:c r="E11" s="8" t="str">
        <x:v>Zero stock-change assumption; not reconciled to customs imports</x:v>
      </x:c>
    </x:row>
    <x:row r="12" ht="72" customHeight="1">
      <x:c r="A12" s="8" t="str">
        <x:v>FIASA-anchor alternative demand</x:v>
      </x:c>
      <x:c r="B12" s="7" t="n">
        <x:f>'Demand history'!B19</x:f>
        <x:v>8.938032824999999</x:v>
      </x:c>
      <x:c r="C12" s="7" t="n">
        <x:f>'Demand history'!C19</x:f>
        <x:v>10.7163971</x:v>
      </x:c>
      <x:c r="D12" s="7" t="n">
        <x:f>B12+C12</x:f>
        <x:v>19.654429925</x:v>
      </x:c>
      <x:c r="E12" s="8" t="str">
        <x:v>Source-choice sensitivity only</x:v>
      </x:c>
    </x:row>
    <x:row r="13" ht="72" customHeight="1">
      <x:c r="A13" s="8" t="str">
        <x:v>Domestic output implied by demand/trade</x:v>
      </x:c>
      <x:c r="B13" s="7" t="n">
        <x:f>B5-B7+B8</x:f>
        <x:v>5.204064157824501</x:v>
      </x:c>
      <x:c r="C13" s="7" t="n">
        <x:f>C5-C7+C8</x:f>
        <x:v>0.6295952751207412</x:v>
      </x:c>
      <x:c r="D13" s="7" t="n">
        <x:f>B13+C13</x:f>
        <x:v>5.833659432945242</x:v>
      </x:c>
      <x:c r="E13" s="8" t="str">
        <x:v>Zero stock change. Compare this implied output with the plant estimate; it is not a replacement production assumption.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23" hidden="0" customWidth="1"/>
    <x:col min="5" max="5" width="23" hidden="0" customWidth="1"/>
    <x:col min="6" max="6" width="23" hidden="0" customWidth="1"/>
    <x:col min="7" max="7" width="21" hidden="0" customWidth="1"/>
    <x:col min="8" max="8" width="25" hidden="0" customWidth="1"/>
    <x:col min="9" max="9" width="75" hidden="0" customWidth="1"/>
  </x:cols>
  <x:sheetData>
    <x:row r="1" ht="27" customHeight="1">
      <x:c r="A1" s="3" t="str">
        <x:v>2025-2030 demand and import sensitivities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  <x:c r="E2" s="2"/>
      <x:c r="F2" s="2"/>
      <x:c r="G2" s="2"/>
      <x:c r="H2" s="2"/>
      <x:c r="I2" s="2"/>
    </x:row>
    <x:row r="3" ht="42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40" customHeight="1">
      <x:c r="A4" s="6" t="str">
        <x:v>Case / year</x:v>
      </x:c>
      <x:c r="B4" s="6" t="str">
        <x:v>Demand bn L</x:v>
      </x:c>
      <x:c r="C4" s="6" t="str">
        <x:v>Supply bn L</x:v>
      </x:c>
      <x:c r="D4" s="6" t="str">
        <x:v>Gross import need bn L</x:v>
      </x:c>
      <x:c r="E4" s="6" t="str">
        <x:v>Change vs 2025 bn L</x:v>
      </x:c>
      <x:c r="F4" s="6" t="str">
        <x:v>Trade-anchored bn L</x:v>
      </x:c>
      <x:c r="G4" s="6" t="str">
        <x:v>Added Moz flow bn L</x:v>
      </x:c>
      <x:c r="H4" s="6" t="str">
        <x:v>Imports ex-Moz proxy bn L</x:v>
      </x:c>
      <x:c r="I4" s="6" t="str">
        <x:v>Meaning</x:v>
      </x:c>
    </x:row>
    <x:row r="5" ht="72" customHeight="1">
      <x:c r="A5" s="8" t="str">
        <x:v>Low imports 2025</x:v>
      </x:c>
      <x:c r="B5" s="7" t="n">
        <x:f>'Balance'!D5+(('Balance'!D5-'Segments'!D9)*((1+'Assumptions'!B52)^0-1))+(-('Segments'!D5+'Segments'!D10+'Segments'!D11)*(1+'Assumptions'!B52)^0*(1-(1-'Assumptions'!B53)^0))+(-'Segments'!D10*(1+'Assumptions'!B52)^0*(1-'Assumptions'!B53)^0*'Assumptions'!B54*0.0*(1-'Assumptions'!B55))+(-'Segments'!D9*(1-'Assumptions'!B56)*0.0)</x:f>
        <x:v>20.987388197095243</x:v>
      </x:c>
      <x:c r="C5" s="7" t="n">
        <x:f>'Balance'!D6+('Balance'!D6*('Assumptions'!B57-1)*0.0)+('Assumptions'!B46*365*'Assumptions'!B16/1000000000*'Assumptions'!B48*'Assumptions'!B59*MIN(1,MAX(0,(2025-'Assumptions'!B58+1)/2))+'Assumptions'!B47*365*'Assumptions'!B16/1000000000*'Assumptions'!B48*'Assumptions'!B61*MIN(1,MAX(0,(2025-'Assumptions'!B60+1)/2)))</x:f>
        <x:v>10.225867130847352</x:v>
      </x:c>
      <x:c r="D5" s="7" t="n">
        <x:f>B5-C5+'Balance'!D8</x:f>
        <x:v>12.309983742317891</x:v>
      </x:c>
      <x:c r="E5" s="7" t="n">
        <x:f>D5-'Balance'!D11</x:f>
        <x:v>1.7763568394002505e-15</x:v>
      </x:c>
      <x:c r="F5" s="7" t="n">
        <x:f>'Balance'!D7+E5</x:f>
        <x:v>16.70219144022</x:v>
      </x:c>
      <x:c r="G5" s="7" t="n">
        <x:f>'Assumptions'!B62*0.0</x:f>
        <x:v>0</x:v>
      </x:c>
      <x:c r="H5" s="7" t="n">
        <x:f>F5-G5-'Evidence'!B134-'Evidence'!B135</x:f>
        <x:v>16.615752449219997</x:v>
      </x:c>
      <x:c r="I5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6" ht="72" customHeight="1">
      <x:c r="A6" s="8" t="str">
        <x:v>Low imports 2026</x:v>
      </x:c>
      <x:c r="B6" s="7" t="n">
        <x:f>'Balance'!D5+(('Balance'!D5-'Segments'!D9)*((1+'Assumptions'!B52)^1-1))+(-('Segments'!D5+'Segments'!D10+'Segments'!D11)*(1+'Assumptions'!B52)^1*(1-(1-'Assumptions'!B53)^1))+(-'Segments'!D10*(1+'Assumptions'!B52)^1*(1-'Assumptions'!B53)^1*'Assumptions'!B54*0.2*(1-'Assumptions'!B55))+(-'Segments'!D9*(1-'Assumptions'!B56)*0.2)</x:f>
        <x:v>20.59052241378107</x:v>
      </x:c>
      <x:c r="C6" s="7" t="n">
        <x:f>'Balance'!D6+('Balance'!D6*('Assumptions'!B57-1)*0.2)+('Assumptions'!B46*365*'Assumptions'!B16/1000000000*'Assumptions'!B48*'Assumptions'!B59*MIN(1,MAX(0,(2026-'Assumptions'!B58+1)/2))+'Assumptions'!B47*365*'Assumptions'!B16/1000000000*'Assumptions'!B48*'Assumptions'!B61*MIN(1,MAX(0,(2026-'Assumptions'!B60+1)/2)))</x:f>
        <x:v>10.532643144772772</x:v>
      </x:c>
      <x:c r="D6" s="7" t="n">
        <x:f>B6-C6+'Balance'!D8</x:f>
        <x:v>11.606341945078299</x:v>
      </x:c>
      <x:c r="E6" s="7" t="n">
        <x:f>D6-'Balance'!D11</x:f>
        <x:v>-0.703641797239591</x:v>
      </x:c>
      <x:c r="F6" s="7" t="n">
        <x:f>'Balance'!D7+E6</x:f>
        <x:v>15.998549642980407</x:v>
      </x:c>
      <x:c r="G6" s="7" t="n">
        <x:f>'Assumptions'!B62*0.2</x:f>
        <x:v>0.12</x:v>
      </x:c>
      <x:c r="H6" s="7" t="n">
        <x:f>F6-G6-'Evidence'!B134-'Evidence'!B135</x:f>
        <x:v>15.792110651980408</x:v>
      </x:c>
      <x:c r="I6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7" ht="72" customHeight="1">
      <x:c r="A7" s="8" t="str">
        <x:v>Low imports 2027</x:v>
      </x:c>
      <x:c r="B7" s="7" t="n">
        <x:f>'Balance'!D5+(('Balance'!D5-'Segments'!D9)*((1+'Assumptions'!B52)^2-1))+(-('Segments'!D5+'Segments'!D10+'Segments'!D11)*(1+'Assumptions'!B52)^2*(1-(1-'Assumptions'!B53)^2))+(-'Segments'!D10*(1+'Assumptions'!B52)^2*(1-'Assumptions'!B53)^2*'Assumptions'!B54*0.4*(1-'Assumptions'!B55))+(-'Segments'!D9*(1-'Assumptions'!B56)*0.4)</x:f>
        <x:v>20.197901888154842</x:v>
      </x:c>
      <x:c r="C7" s="7" t="n">
        <x:f>'Balance'!D6+('Balance'!D6*('Assumptions'!B57-1)*0.4)+('Assumptions'!B46*365*'Assumptions'!B16/1000000000*'Assumptions'!B48*'Assumptions'!B59*MIN(1,MAX(0,(2027-'Assumptions'!B58+1)/2))+'Assumptions'!B47*365*'Assumptions'!B16/1000000000*'Assumptions'!B48*'Assumptions'!B61*MIN(1,MAX(0,(2027-'Assumptions'!B60+1)/2)))</x:f>
        <x:v>10.839419158698192</x:v>
      </x:c>
      <x:c r="D7" s="7" t="n">
        <x:f>B7-C7+'Balance'!D8</x:f>
        <x:v>10.90694540552665</x:v>
      </x:c>
      <x:c r="E7" s="7" t="n">
        <x:f>D7-'Balance'!D11</x:f>
        <x:v>-1.403038336791239</x:v>
      </x:c>
      <x:c r="F7" s="7" t="n">
        <x:f>'Balance'!D7+E7</x:f>
        <x:v>15.29915310342876</x:v>
      </x:c>
      <x:c r="G7" s="7" t="n">
        <x:f>'Assumptions'!B62*0.4</x:f>
        <x:v>0.24</x:v>
      </x:c>
      <x:c r="H7" s="7" t="n">
        <x:f>F7-G7-'Evidence'!B134-'Evidence'!B135</x:f>
        <x:v>14.97271411242876</x:v>
      </x:c>
      <x:c r="I7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8" ht="72" customHeight="1">
      <x:c r="A8" s="8" t="str">
        <x:v>Low imports 2028</x:v>
      </x:c>
      <x:c r="B8" s="7" t="n">
        <x:f>'Balance'!D5+(('Balance'!D5-'Segments'!D9)*((1+'Assumptions'!B52)^3-1))+(-('Segments'!D5+'Segments'!D10+'Segments'!D11)*(1+'Assumptions'!B52)^3*(1-(1-'Assumptions'!B53)^3))+(-'Segments'!D10*(1+'Assumptions'!B52)^3*(1-'Assumptions'!B53)^3*'Assumptions'!B54*0.6*(1-'Assumptions'!B55))+(-'Segments'!D9*(1-'Assumptions'!B56)*0.6)</x:f>
        <x:v>19.809472599297052</x:v>
      </x:c>
      <x:c r="C8" s="7" t="n">
        <x:f>'Balance'!D6+('Balance'!D6*('Assumptions'!B57-1)*0.6)+('Assumptions'!B46*365*'Assumptions'!B16/1000000000*'Assumptions'!B48*'Assumptions'!B59*MIN(1,MAX(0,(2028-'Assumptions'!B58+1)/2))+'Assumptions'!B47*365*'Assumptions'!B16/1000000000*'Assumptions'!B48*'Assumptions'!B61*MIN(1,MAX(0,(2028-'Assumptions'!B60+1)/2)))</x:f>
        <x:v>11.146195172623612</x:v>
      </x:c>
      <x:c r="D8" s="7" t="n">
        <x:f>B8-C8+'Balance'!D8</x:f>
        <x:v>10.211740102743441</x:v>
      </x:c>
      <x:c r="E8" s="7" t="n">
        <x:f>D8-'Balance'!D11</x:f>
        <x:v>-2.0982436395744486</x:v>
      </x:c>
      <x:c r="F8" s="7" t="n">
        <x:f>'Balance'!D7+E8</x:f>
        <x:v>14.60394780064555</x:v>
      </x:c>
      <x:c r="G8" s="7" t="n">
        <x:f>'Assumptions'!B62*0.6</x:f>
        <x:v>0.36</x:v>
      </x:c>
      <x:c r="H8" s="7" t="n">
        <x:f>F8-G8-'Evidence'!B134-'Evidence'!B135</x:f>
        <x:v>14.15750880964555</x:v>
      </x:c>
      <x:c r="I8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9" ht="72" customHeight="1">
      <x:c r="A9" s="8" t="str">
        <x:v>Low imports 2029</x:v>
      </x:c>
      <x:c r="B9" s="7" t="n">
        <x:f>'Balance'!D5+(('Balance'!D5-'Segments'!D9)*((1+'Assumptions'!B52)^4-1))+(-('Segments'!D5+'Segments'!D10+'Segments'!D11)*(1+'Assumptions'!B52)^4*(1-(1-'Assumptions'!B53)^4))+(-'Segments'!D10*(1+'Assumptions'!B52)^4*(1-'Assumptions'!B53)^4*'Assumptions'!B54*0.8*(1-'Assumptions'!B55))+(-'Segments'!D9*(1-'Assumptions'!B56)*0.8)</x:f>
        <x:v>19.425181211618764</x:v>
      </x:c>
      <x:c r="C9" s="7" t="n">
        <x:f>'Balance'!D6+('Balance'!D6*('Assumptions'!B57-1)*0.8)+('Assumptions'!B46*365*'Assumptions'!B16/1000000000*'Assumptions'!B48*'Assumptions'!B59*MIN(1,MAX(0,(2029-'Assumptions'!B58+1)/2))+'Assumptions'!B47*365*'Assumptions'!B16/1000000000*'Assumptions'!B48*'Assumptions'!B61*MIN(1,MAX(0,(2029-'Assumptions'!B60+1)/2)))</x:f>
        <x:v>14.286303642872788</x:v>
      </x:c>
      <x:c r="D9" s="7" t="n">
        <x:f>B9-C9+'Balance'!D8</x:f>
        <x:v>6.687340244815975</x:v>
      </x:c>
      <x:c r="E9" s="7" t="n">
        <x:f>D9-'Balance'!D11</x:f>
        <x:v>-5.622643497501914</x:v>
      </x:c>
      <x:c r="F9" s="7" t="n">
        <x:f>'Balance'!D7+E9</x:f>
        <x:v>11.079547942718083</x:v>
      </x:c>
      <x:c r="G9" s="7" t="n">
        <x:f>'Assumptions'!B62*0.8</x:f>
        <x:v>0.48</x:v>
      </x:c>
      <x:c r="H9" s="7" t="n">
        <x:f>F9-G9-'Evidence'!B134-'Evidence'!B135</x:f>
        <x:v>10.513108951718083</x:v>
      </x:c>
      <x:c r="I9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0" ht="72" customHeight="1">
      <x:c r="A10" s="8" t="str">
        <x:v>Low imports 2030</x:v>
      </x:c>
      <x:c r="B10" s="7" t="n">
        <x:f>'Balance'!D5+(('Balance'!D5-'Segments'!D9)*((1+'Assumptions'!B52)^5-1))+(-('Segments'!D5+'Segments'!D10+'Segments'!D11)*(1+'Assumptions'!B52)^5*(1-(1-'Assumptions'!B53)^5))+(-'Segments'!D10*(1+'Assumptions'!B52)^5*(1-'Assumptions'!B53)^5*'Assumptions'!B54*1.0*(1-'Assumptions'!B55))+(-'Segments'!D9*(1-'Assumptions'!B56)*1.0)</x:f>
        <x:v>19.044975066674194</x:v>
      </x:c>
      <x:c r="C10" s="7" t="n">
        <x:f>'Balance'!D6+('Balance'!D6*('Assumptions'!B57-1)*1.0)+('Assumptions'!B46*365*'Assumptions'!B16/1000000000*'Assumptions'!B48*'Assumptions'!B59*MIN(1,MAX(0,(2030-'Assumptions'!B58+1)/2))+'Assumptions'!B47*365*'Assumptions'!B16/1000000000*'Assumptions'!B48*'Assumptions'!B61*MIN(1,MAX(0,(2030-'Assumptions'!B60+1)/2)))</x:f>
        <x:v>17.426412113121962</x:v>
      </x:c>
      <x:c r="D10" s="7" t="n">
        <x:f>B10-C10+'Balance'!D8</x:f>
        <x:v>3.1670256296222314</x:v>
      </x:c>
      <x:c r="E10" s="7" t="n">
        <x:f>D10-'Balance'!D11</x:f>
        <x:v>-9.14295811269566</x:v>
      </x:c>
      <x:c r="F10" s="7" t="n">
        <x:f>'Balance'!D7+E10</x:f>
        <x:v>7.559233327524339</x:v>
      </x:c>
      <x:c r="G10" s="7" t="n">
        <x:f>'Assumptions'!B62*1.0</x:f>
        <x:v>0.6</x:v>
      </x:c>
      <x:c r="H10" s="7" t="n">
        <x:f>F10-G10-'Evidence'!B134-'Evidence'!B135</x:f>
        <x:v>6.872794336524339</x:v>
      </x:c>
      <x:c r="I10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1" ht="72" customHeight="1">
      <x:c r="A11" s="8" t="str">
        <x:v>Base 2025</x:v>
      </x:c>
      <x:c r="B11" s="7" t="n">
        <x:f>'Balance'!D5+(('Balance'!D5-'Segments'!D9)*((1+'Assumptions'!B63)^0-1))+(-('Segments'!D5+'Segments'!D10+'Segments'!D11)*(1+'Assumptions'!B63)^0*(1-(1-'Assumptions'!B64)^0))+(-'Segments'!D10*(1+'Assumptions'!B63)^0*(1-'Assumptions'!B64)^0*'Assumptions'!B65*0.0*(1-'Assumptions'!B66))+(-'Segments'!D9*(1-'Assumptions'!B67)*0.0)</x:f>
        <x:v>20.987388197095243</x:v>
      </x:c>
      <x:c r="C11" s="7" t="n">
        <x:f>'Balance'!D6+('Balance'!D6*('Assumptions'!B68-1)*0.0)+('Assumptions'!B46*365*'Assumptions'!B16/1000000000*'Assumptions'!B48*'Assumptions'!B70*MIN(1,MAX(0,(2025-'Assumptions'!B69+1)/2))+'Assumptions'!B47*365*'Assumptions'!B16/1000000000*'Assumptions'!B48*'Assumptions'!B72*MIN(1,MAX(0,(2025-'Assumptions'!B71+1)/2)))</x:f>
        <x:v>10.225867130847352</x:v>
      </x:c>
      <x:c r="D11" s="7" t="n">
        <x:f>B11-C11+'Balance'!D8</x:f>
        <x:v>12.309983742317891</x:v>
      </x:c>
      <x:c r="E11" s="7" t="n">
        <x:f>D11-'Balance'!D11</x:f>
        <x:v>1.7763568394002505e-15</x:v>
      </x:c>
      <x:c r="F11" s="7" t="n">
        <x:f>'Balance'!D7+E11</x:f>
        <x:v>16.70219144022</x:v>
      </x:c>
      <x:c r="G11" s="7" t="n">
        <x:f>'Assumptions'!B73*0.0</x:f>
        <x:v>0</x:v>
      </x:c>
      <x:c r="H11" s="7" t="n">
        <x:f>F11-G11-'Evidence'!B134-'Evidence'!B135</x:f>
        <x:v>16.615752449219997</x:v>
      </x:c>
      <x:c r="I11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2" ht="72" customHeight="1">
      <x:c r="A12" s="8" t="str">
        <x:v>Base 2026</x:v>
      </x:c>
      <x:c r="B12" s="7" t="n">
        <x:f>'Balance'!D5+(('Balance'!D5-'Segments'!D9)*((1+'Assumptions'!B63)^1-1))+(-('Segments'!D5+'Segments'!D10+'Segments'!D11)*(1+'Assumptions'!B63)^1*(1-(1-'Assumptions'!B64)^1))+(-'Segments'!D10*(1+'Assumptions'!B63)^1*(1-'Assumptions'!B64)^1*'Assumptions'!B65*0.2*(1-'Assumptions'!B66))+(-'Segments'!D9*(1-'Assumptions'!B67)*0.2)</x:f>
        <x:v>20.959573230766598</x:v>
      </x:c>
      <x:c r="C12" s="7" t="n">
        <x:f>'Balance'!D6+('Balance'!D6*('Assumptions'!B68-1)*0.2)+('Assumptions'!B46*365*'Assumptions'!B16/1000000000*'Assumptions'!B48*'Assumptions'!B70*MIN(1,MAX(0,(2026-'Assumptions'!B69+1)/2))+'Assumptions'!B47*365*'Assumptions'!B16/1000000000*'Assumptions'!B48*'Assumptions'!B72*MIN(1,MAX(0,(2026-'Assumptions'!B71+1)/2)))</x:f>
        <x:v>10.225867130847352</x:v>
      </x:c>
      <x:c r="D12" s="7" t="n">
        <x:f>B12-C12+'Balance'!D8</x:f>
        <x:v>12.282168775989247</x:v>
      </x:c>
      <x:c r="E12" s="7" t="n">
        <x:f>D12-'Balance'!D11</x:f>
        <x:v>-0.02781496632864311</x:v>
      </x:c>
      <x:c r="F12" s="7" t="n">
        <x:f>'Balance'!D7+E12</x:f>
        <x:v>16.674376473891357</x:v>
      </x:c>
      <x:c r="G12" s="7" t="n">
        <x:f>'Assumptions'!B73*0.2</x:f>
        <x:v>0.04000000000000001</x:v>
      </x:c>
      <x:c r="H12" s="7" t="n">
        <x:f>F12-G12-'Evidence'!B134-'Evidence'!B135</x:f>
        <x:v>16.547937482891356</x:v>
      </x:c>
      <x:c r="I12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3" ht="72" customHeight="1">
      <x:c r="A13" s="8" t="str">
        <x:v>Base 2027</x:v>
      </x:c>
      <x:c r="B13" s="7" t="n">
        <x:f>'Balance'!D5+(('Balance'!D5-'Segments'!D9)*((1+'Assumptions'!B63)^2-1))+(-('Segments'!D5+'Segments'!D10+'Segments'!D11)*(1+'Assumptions'!B63)^2*(1-(1-'Assumptions'!B64)^2))+(-'Segments'!D10*(1+'Assumptions'!B63)^2*(1-'Assumptions'!B64)^2*'Assumptions'!B65*0.4*(1-'Assumptions'!B66))+(-'Segments'!D9*(1-'Assumptions'!B67)*0.4)</x:f>
        <x:v>20.93257485416837</x:v>
      </x:c>
      <x:c r="C13" s="7" t="n">
        <x:f>'Balance'!D6+('Balance'!D6*('Assumptions'!B68-1)*0.4)+('Assumptions'!B46*365*'Assumptions'!B16/1000000000*'Assumptions'!B48*'Assumptions'!B70*MIN(1,MAX(0,(2027-'Assumptions'!B69+1)/2))+'Assumptions'!B47*365*'Assumptions'!B16/1000000000*'Assumptions'!B48*'Assumptions'!B72*MIN(1,MAX(0,(2027-'Assumptions'!B71+1)/2)))</x:f>
        <x:v>10.225867130847352</x:v>
      </x:c>
      <x:c r="D13" s="7" t="n">
        <x:f>B13-C13+'Balance'!D8</x:f>
        <x:v>12.255170399391018</x:v>
      </x:c>
      <x:c r="E13" s="7" t="n">
        <x:f>D13-'Balance'!D11</x:f>
        <x:v>-0.05481334292687201</x:v>
      </x:c>
      <x:c r="F13" s="7" t="n">
        <x:f>'Balance'!D7+E13</x:f>
        <x:v>16.647378097293128</x:v>
      </x:c>
      <x:c r="G13" s="7" t="n">
        <x:f>'Assumptions'!B73*0.4</x:f>
        <x:v>0.08000000000000002</x:v>
      </x:c>
      <x:c r="H13" s="7" t="n">
        <x:f>F13-G13-'Evidence'!B134-'Evidence'!B135</x:f>
        <x:v>16.48093910629313</x:v>
      </x:c>
      <x:c r="I13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4" ht="72" customHeight="1">
      <x:c r="A14" s="8" t="str">
        <x:v>Base 2028</x:v>
      </x:c>
      <x:c r="B14" s="7" t="n">
        <x:f>'Balance'!D5+(('Balance'!D5-'Segments'!D9)*((1+'Assumptions'!B63)^3-1))+(-('Segments'!D5+'Segments'!D10+'Segments'!D11)*(1+'Assumptions'!B63)^3*(1-(1-'Assumptions'!B64)^3))+(-'Segments'!D10*(1+'Assumptions'!B63)^3*(1-'Assumptions'!B64)^3*'Assumptions'!B65*0.6*(1-'Assumptions'!B66))+(-'Segments'!D9*(1-'Assumptions'!B67)*0.6)</x:f>
        <x:v>20.906406633523154</x:v>
      </x:c>
      <x:c r="C14" s="7" t="n">
        <x:f>'Balance'!D6+('Balance'!D6*('Assumptions'!B68-1)*0.6)+('Assumptions'!B46*365*'Assumptions'!B16/1000000000*'Assumptions'!B48*'Assumptions'!B70*MIN(1,MAX(0,(2028-'Assumptions'!B69+1)/2))+'Assumptions'!B47*365*'Assumptions'!B16/1000000000*'Assumptions'!B48*'Assumptions'!B72*MIN(1,MAX(0,(2028-'Assumptions'!B71+1)/2)))</x:f>
        <x:v>10.225867130847352</x:v>
      </x:c>
      <x:c r="D14" s="7" t="n">
        <x:f>B14-C14+'Balance'!D8</x:f>
        <x:v>12.229002178745803</x:v>
      </x:c>
      <x:c r="E14" s="7" t="n">
        <x:f>D14-'Balance'!D11</x:f>
        <x:v>-0.0809815635720863</x:v>
      </x:c>
      <x:c r="F14" s="7" t="n">
        <x:f>'Balance'!D7+E14</x:f>
        <x:v>16.62120987664791</x:v>
      </x:c>
      <x:c r="G14" s="7" t="n">
        <x:f>'Assumptions'!B73*0.6</x:f>
        <x:v>0.12</x:v>
      </x:c>
      <x:c r="H14" s="7" t="n">
        <x:f>F14-G14-'Evidence'!B134-'Evidence'!B135</x:f>
        <x:v>16.414770885647908</x:v>
      </x:c>
      <x:c r="I14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5" ht="72" customHeight="1">
      <x:c r="A15" s="8" t="str">
        <x:v>Base 2029</x:v>
      </x:c>
      <x:c r="B15" s="7" t="n">
        <x:f>'Balance'!D5+(('Balance'!D5-'Segments'!D9)*((1+'Assumptions'!B63)^4-1))+(-('Segments'!D5+'Segments'!D10+'Segments'!D11)*(1+'Assumptions'!B63)^4*(1-(1-'Assumptions'!B64)^4))+(-'Segments'!D10*(1+'Assumptions'!B63)^4*(1-'Assumptions'!B64)^4*'Assumptions'!B65*0.8*(1-'Assumptions'!B66))+(-'Segments'!D9*(1-'Assumptions'!B67)*0.8)</x:f>
        <x:v>20.881082360561916</x:v>
      </x:c>
      <x:c r="C15" s="7" t="n">
        <x:f>'Balance'!D6+('Balance'!D6*('Assumptions'!B68-1)*0.8)+('Assumptions'!B46*365*'Assumptions'!B16/1000000000*'Assumptions'!B48*'Assumptions'!B70*MIN(1,MAX(0,(2029-'Assumptions'!B69+1)/2))+'Assumptions'!B47*365*'Assumptions'!B16/1000000000*'Assumptions'!B48*'Assumptions'!B72*MIN(1,MAX(0,(2029-'Assumptions'!B71+1)/2)))</x:f>
        <x:v>10.225867130847352</x:v>
      </x:c>
      <x:c r="D15" s="7" t="n">
        <x:f>B15-C15+'Balance'!D8</x:f>
        <x:v>12.203677905784565</x:v>
      </x:c>
      <x:c r="E15" s="7" t="n">
        <x:f>D15-'Balance'!D11</x:f>
        <x:v>-0.10630583653332515</x:v>
      </x:c>
      <x:c r="F15" s="7" t="n">
        <x:f>'Balance'!D7+E15</x:f>
        <x:v>16.595885603686675</x:v>
      </x:c>
      <x:c r="G15" s="7" t="n">
        <x:f>'Assumptions'!B73*0.8</x:f>
        <x:v>0.16000000000000003</x:v>
      </x:c>
      <x:c r="H15" s="7" t="n">
        <x:f>F15-G15-'Evidence'!B134-'Evidence'!B135</x:f>
        <x:v>16.349446612686673</x:v>
      </x:c>
      <x:c r="I15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6" ht="72" customHeight="1">
      <x:c r="A16" s="8" t="str">
        <x:v>Base 2030</x:v>
      </x:c>
      <x:c r="B16" s="7" t="n">
        <x:f>'Balance'!D5+(('Balance'!D5-'Segments'!D9)*((1+'Assumptions'!B63)^5-1))+(-('Segments'!D5+'Segments'!D10+'Segments'!D11)*(1+'Assumptions'!B63)^5*(1-(1-'Assumptions'!B64)^5))+(-'Segments'!D10*(1+'Assumptions'!B63)^5*(1-'Assumptions'!B64)^5*'Assumptions'!B65*1.0*(1-'Assumptions'!B66))+(-'Segments'!D9*(1-'Assumptions'!B67)*1.0)</x:f>
        <x:v>20.856616056089173</x:v>
      </x:c>
      <x:c r="C16" s="7" t="n">
        <x:f>'Balance'!D6+('Balance'!D6*('Assumptions'!B68-1)*1.0)+('Assumptions'!B46*365*'Assumptions'!B16/1000000000*'Assumptions'!B48*'Assumptions'!B70*MIN(1,MAX(0,(2030-'Assumptions'!B69+1)/2))+'Assumptions'!B47*365*'Assumptions'!B16/1000000000*'Assumptions'!B48*'Assumptions'!B72*MIN(1,MAX(0,(2030-'Assumptions'!B71+1)/2)))</x:f>
        <x:v>10.225867130847352</x:v>
      </x:c>
      <x:c r="D16" s="7" t="n">
        <x:f>B16-C16+'Balance'!D8</x:f>
        <x:v>12.179211601311822</x:v>
      </x:c>
      <x:c r="E16" s="7" t="n">
        <x:f>D16-'Balance'!D11</x:f>
        <x:v>-0.1307721410060676</x:v>
      </x:c>
      <x:c r="F16" s="7" t="n">
        <x:f>'Balance'!D7+E16</x:f>
        <x:v>16.57141929921393</x:v>
      </x:c>
      <x:c r="G16" s="7" t="n">
        <x:f>'Assumptions'!B73*1.0</x:f>
        <x:v>0.2</x:v>
      </x:c>
      <x:c r="H16" s="7" t="n">
        <x:f>F16-G16-'Evidence'!B134-'Evidence'!B135</x:f>
        <x:v>16.284980308213928</x:v>
      </x:c>
      <x:c r="I16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7" ht="72" customHeight="1">
      <x:c r="A17" s="8" t="str">
        <x:v>High imports 2025</x:v>
      </x:c>
      <x:c r="B17" s="7" t="n">
        <x:f>'Balance'!D5+(('Balance'!D5-'Segments'!D9)*((1+'Assumptions'!B74)^0-1))+(-('Segments'!D5+'Segments'!D10+'Segments'!D11)*(1+'Assumptions'!B74)^0*(1-(1-'Assumptions'!B75)^0))+(-'Segments'!D10*(1+'Assumptions'!B74)^0*(1-'Assumptions'!B75)^0*'Assumptions'!B76*0.0*(1-'Assumptions'!B77))+(-'Segments'!D9*(1-'Assumptions'!B78)*0.0)</x:f>
        <x:v>20.987388197095243</x:v>
      </x:c>
      <x:c r="C17" s="7" t="n">
        <x:f>'Balance'!D6+('Balance'!D6*('Assumptions'!B79-1)*0.0)+('Assumptions'!B46*365*'Assumptions'!B16/1000000000*'Assumptions'!B48*'Assumptions'!B81*MIN(1,MAX(0,(2025-'Assumptions'!B80+1)/2))+'Assumptions'!B47*365*'Assumptions'!B16/1000000000*'Assumptions'!B48*'Assumptions'!B83*MIN(1,MAX(0,(2025-'Assumptions'!B82+1)/2)))</x:f>
        <x:v>10.225867130847352</x:v>
      </x:c>
      <x:c r="D17" s="7" t="n">
        <x:f>B17-C17+'Balance'!D8</x:f>
        <x:v>12.309983742317891</x:v>
      </x:c>
      <x:c r="E17" s="7" t="n">
        <x:f>D17-'Balance'!D11</x:f>
        <x:v>1.7763568394002505e-15</x:v>
      </x:c>
      <x:c r="F17" s="7" t="n">
        <x:f>'Balance'!D7+E17</x:f>
        <x:v>16.70219144022</x:v>
      </x:c>
      <x:c r="G17" s="7" t="n">
        <x:f>'Assumptions'!B84*0.0</x:f>
        <x:v>0</x:v>
      </x:c>
      <x:c r="H17" s="7" t="n">
        <x:f>F17-G17-'Evidence'!B134-'Evidence'!B135</x:f>
        <x:v>16.615752449219997</x:v>
      </x:c>
      <x:c r="I17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8" ht="72" customHeight="1">
      <x:c r="A18" s="8" t="str">
        <x:v>High imports 2026</x:v>
      </x:c>
      <x:c r="B18" s="7" t="n">
        <x:f>'Balance'!D5+(('Balance'!D5-'Segments'!D9)*((1+'Assumptions'!B74)^1-1))+(-('Segments'!D5+'Segments'!D10+'Segments'!D11)*(1+'Assumptions'!B74)^1*(1-(1-'Assumptions'!B75)^1))+(-'Segments'!D10*(1+'Assumptions'!B74)^1*(1-'Assumptions'!B75)^1*'Assumptions'!B76*0.2*(1-'Assumptions'!B77))+(-'Segments'!D9*(1-'Assumptions'!B78)*0.2)</x:f>
        <x:v>21.385830945103333</x:v>
      </x:c>
      <x:c r="C18" s="7" t="n">
        <x:f>'Balance'!D6+('Balance'!D6*('Assumptions'!B79-1)*0.2)+('Assumptions'!B46*365*'Assumptions'!B16/1000000000*'Assumptions'!B48*'Assumptions'!B81*MIN(1,MAX(0,(2026-'Assumptions'!B80+1)/2))+'Assumptions'!B47*365*'Assumptions'!B16/1000000000*'Assumptions'!B48*'Assumptions'!B83*MIN(1,MAX(0,(2026-'Assumptions'!B82+1)/2)))</x:f>
        <x:v>9.919091116921932</x:v>
      </x:c>
      <x:c r="D18" s="7" t="n">
        <x:f>B18-C18+'Balance'!D8</x:f>
        <x:v>13.015202504251402</x:v>
      </x:c>
      <x:c r="E18" s="7" t="n">
        <x:f>D18-'Balance'!D11</x:f>
        <x:v>0.7052187619335122</x:v>
      </x:c>
      <x:c r="F18" s="7" t="n">
        <x:f>'Balance'!D7+E18</x:f>
        <x:v>17.40741020215351</x:v>
      </x:c>
      <x:c r="G18" s="7" t="n">
        <x:f>'Assumptions'!B84*0.2</x:f>
        <x:v>0.010000000000000002</x:v>
      </x:c>
      <x:c r="H18" s="7" t="n">
        <x:f>F18-G18-'Evidence'!B134-'Evidence'!B135</x:f>
        <x:v>17.310971211153507</x:v>
      </x:c>
      <x:c r="I18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9" ht="72" customHeight="1">
      <x:c r="A19" s="8" t="str">
        <x:v>High imports 2027</x:v>
      </x:c>
      <x:c r="B19" s="7" t="n">
        <x:f>'Balance'!D5+(('Balance'!D5-'Segments'!D9)*((1+'Assumptions'!B74)^2-1))+(-('Segments'!D5+'Segments'!D10+'Segments'!D11)*(1+'Assumptions'!B74)^2*(1-(1-'Assumptions'!B75)^2))+(-'Segments'!D10*(1+'Assumptions'!B74)^2*(1-'Assumptions'!B75)^2*'Assumptions'!B76*0.4*(1-'Assumptions'!B77))+(-'Segments'!D9*(1-'Assumptions'!B78)*0.4)</x:f>
        <x:v>21.79237795194973</x:v>
      </x:c>
      <x:c r="C19" s="7" t="n">
        <x:f>'Balance'!D6+('Balance'!D6*('Assumptions'!B79-1)*0.4)+('Assumptions'!B46*365*'Assumptions'!B16/1000000000*'Assumptions'!B48*'Assumptions'!B81*MIN(1,MAX(0,(2027-'Assumptions'!B80+1)/2))+'Assumptions'!B47*365*'Assumptions'!B16/1000000000*'Assumptions'!B48*'Assumptions'!B83*MIN(1,MAX(0,(2027-'Assumptions'!B82+1)/2)))</x:f>
        <x:v>9.61231510299651</x:v>
      </x:c>
      <x:c r="D19" s="7" t="n">
        <x:f>B19-C19+'Balance'!D8</x:f>
        <x:v>13.728525525023223</x:v>
      </x:c>
      <x:c r="E19" s="7" t="n">
        <x:f>D19-'Balance'!D11</x:f>
        <x:v>1.4185417827053328</x:v>
      </x:c>
      <x:c r="F19" s="7" t="n">
        <x:f>'Balance'!D7+E19</x:f>
        <x:v>18.12073322292533</x:v>
      </x:c>
      <x:c r="G19" s="7" t="n">
        <x:f>'Assumptions'!B84*0.4</x:f>
        <x:v>0.020000000000000004</x:v>
      </x:c>
      <x:c r="H19" s="7" t="n">
        <x:f>F19-G19-'Evidence'!B134-'Evidence'!B135</x:f>
        <x:v>18.01429423192533</x:v>
      </x:c>
      <x:c r="I19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20" ht="72" customHeight="1">
      <x:c r="A20" s="8" t="str">
        <x:v>High imports 2028</x:v>
      </x:c>
      <x:c r="B20" s="7" t="n">
        <x:f>'Balance'!D5+(('Balance'!D5-'Segments'!D9)*((1+'Assumptions'!B74)^3-1))+(-('Segments'!D5+'Segments'!D10+'Segments'!D11)*(1+'Assumptions'!B74)^3*(1-(1-'Assumptions'!B75)^3))+(-'Segments'!D10*(1+'Assumptions'!B74)^3*(1-'Assumptions'!B75)^3*'Assumptions'!B76*0.6*(1-'Assumptions'!B77))+(-'Segments'!D9*(1-'Assumptions'!B78)*0.6)</x:f>
        <x:v>22.207197175375317</x:v>
      </x:c>
      <x:c r="C20" s="7" t="n">
        <x:f>'Balance'!D6+('Balance'!D6*('Assumptions'!B79-1)*0.6)+('Assumptions'!B46*365*'Assumptions'!B16/1000000000*'Assumptions'!B48*'Assumptions'!B81*MIN(1,MAX(0,(2028-'Assumptions'!B80+1)/2))+'Assumptions'!B47*365*'Assumptions'!B16/1000000000*'Assumptions'!B48*'Assumptions'!B83*MIN(1,MAX(0,(2028-'Assumptions'!B82+1)/2)))</x:f>
        <x:v>9.30553908907109</x:v>
      </x:c>
      <x:c r="D20" s="7" t="n">
        <x:f>B20-C20+'Balance'!D8</x:f>
        <x:v>14.450120762374228</x:v>
      </x:c>
      <x:c r="E20" s="7" t="n">
        <x:f>D20-'Balance'!D11</x:f>
        <x:v>2.140137020056338</x:v>
      </x:c>
      <x:c r="F20" s="7" t="n">
        <x:f>'Balance'!D7+E20</x:f>
        <x:v>18.842328460276335</x:v>
      </x:c>
      <x:c r="G20" s="7" t="n">
        <x:f>'Assumptions'!B84*0.6</x:f>
        <x:v>0.03</x:v>
      </x:c>
      <x:c r="H20" s="7" t="n">
        <x:f>F20-G20-'Evidence'!B134-'Evidence'!B135</x:f>
        <x:v>18.725889469276332</x:v>
      </x:c>
      <x:c r="I20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21" ht="72" customHeight="1">
      <x:c r="A21" s="8" t="str">
        <x:v>High imports 2029</x:v>
      </x:c>
      <x:c r="B21" s="7" t="n">
        <x:f>'Balance'!D5+(('Balance'!D5-'Segments'!D9)*((1+'Assumptions'!B74)^4-1))+(-('Segments'!D5+'Segments'!D10+'Segments'!D11)*(1+'Assumptions'!B74)^4*(1-(1-'Assumptions'!B75)^4))+(-'Segments'!D10*(1+'Assumptions'!B74)^4*(1-'Assumptions'!B75)^4*'Assumptions'!B76*0.8*(1-'Assumptions'!B77))+(-'Segments'!D9*(1-'Assumptions'!B78)*0.8)</x:f>
        <x:v>22.63046012824642</x:v>
      </x:c>
      <x:c r="C21" s="7" t="n">
        <x:f>'Balance'!D6+('Balance'!D6*('Assumptions'!B79-1)*0.8)+('Assumptions'!B46*365*'Assumptions'!B16/1000000000*'Assumptions'!B48*'Assumptions'!B81*MIN(1,MAX(0,(2029-'Assumptions'!B80+1)/2))+'Assumptions'!B47*365*'Assumptions'!B16/1000000000*'Assumptions'!B48*'Assumptions'!B83*MIN(1,MAX(0,(2029-'Assumptions'!B82+1)/2)))</x:f>
        <x:v>8.99876307514567</x:v>
      </x:c>
      <x:c r="D21" s="7" t="n">
        <x:f>B21-C21+'Balance'!D8</x:f>
        <x:v>15.18015972917075</x:v>
      </x:c>
      <x:c r="E21" s="7" t="n">
        <x:f>D21-'Balance'!D11</x:f>
        <x:v>2.8701759868528605</x:v>
      </x:c>
      <x:c r="F21" s="7" t="n">
        <x:f>'Balance'!D7+E21</x:f>
        <x:v>19.57236742707286</x:v>
      </x:c>
      <x:c r="G21" s="7" t="n">
        <x:f>'Assumptions'!B84*0.8</x:f>
        <x:v>0.04000000000000001</x:v>
      </x:c>
      <x:c r="H21" s="7" t="n">
        <x:f>F21-G21-'Evidence'!B134-'Evidence'!B135</x:f>
        <x:v>19.445928436072858</x:v>
      </x:c>
      <x:c r="I21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22" ht="72" customHeight="1">
      <x:c r="A22" s="8" t="str">
        <x:v>High imports 2030</x:v>
      </x:c>
      <x:c r="B22" s="7" t="n">
        <x:f>'Balance'!D5+(('Balance'!D5-'Segments'!D9)*((1+'Assumptions'!B74)^5-1))+(-('Segments'!D5+'Segments'!D10+'Segments'!D11)*(1+'Assumptions'!B74)^5*(1-(1-'Assumptions'!B75)^5))+(-'Segments'!D10*(1+'Assumptions'!B74)^5*(1-'Assumptions'!B75)^5*'Assumptions'!B76*1.0*(1-'Assumptions'!B77))+(-'Segments'!D9*(1-'Assumptions'!B78)*1.0)</x:f>
        <x:v>23.062341955527902</x:v>
      </x:c>
      <x:c r="C22" s="7" t="n">
        <x:f>'Balance'!D6+('Balance'!D6*('Assumptions'!B79-1)*1.0)+('Assumptions'!B46*365*'Assumptions'!B16/1000000000*'Assumptions'!B48*'Assumptions'!B81*MIN(1,MAX(0,(2030-'Assumptions'!B80+1)/2))+'Assumptions'!B47*365*'Assumptions'!B16/1000000000*'Assumptions'!B48*'Assumptions'!B83*MIN(1,MAX(0,(2030-'Assumptions'!B82+1)/2)))</x:f>
        <x:v>8.69198706122025</x:v>
      </x:c>
      <x:c r="D22" s="7" t="n">
        <x:f>B22-C22+'Balance'!D8</x:f>
        <x:v>15.918817570377653</x:v>
      </x:c>
      <x:c r="E22" s="7" t="n">
        <x:f>D22-'Balance'!D11</x:f>
        <x:v>3.6088338280597636</x:v>
      </x:c>
      <x:c r="F22" s="7" t="n">
        <x:f>'Balance'!D7+E22</x:f>
        <x:v>20.311025268279764</x:v>
      </x:c>
      <x:c r="G22" s="7" t="n">
        <x:f>'Assumptions'!B84*1.0</x:f>
        <x:v>0.05</x:v>
      </x:c>
      <x:c r="H22" s="7" t="n">
        <x:f>F22-G22-'Evidence'!B134-'Evidence'!B135</x:f>
        <x:v>20.17458627727976</x:v>
      </x:c>
      <x:c r="I22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3" hidden="0" customWidth="1"/>
    <x:col min="8" max="8" width="25" hidden="0" customWidth="1"/>
    <x:col min="9" max="9" width="75" hidden="0" customWidth="1"/>
  </x:cols>
  <x:sheetData>
    <x:row r="1" ht="27" customHeight="1">
      <x:c r="A1" s="3" t="str">
        <x:v>2030 volume changes by driver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  <x:c r="E2" s="2"/>
      <x:c r="F2" s="2"/>
      <x:c r="G2" s="2"/>
      <x:c r="H2" s="2"/>
      <x:c r="I2" s="2"/>
    </x:row>
    <x:row r="3" ht="42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40" customHeight="1">
      <x:c r="A4" s="6" t="str">
        <x:v>Case</x:v>
      </x:c>
      <x:c r="B4" s="6" t="str">
        <x:v>Activity bn L</x:v>
      </x:c>
      <x:c r="C4" s="6" t="str">
        <x:v>Efficiency bn L</x:v>
      </x:c>
      <x:c r="D4" s="6" t="str">
        <x:v>Rail net bn L</x:v>
      </x:c>
      <x:c r="E4" s="6" t="str">
        <x:v>Power bn L</x:v>
      </x:c>
      <x:c r="F4" s="6" t="str">
        <x:v>Operating supply bn L</x:v>
      </x:c>
      <x:c r="G4" s="6" t="str">
        <x:v>Restart supply bn L</x:v>
      </x:c>
      <x:c r="H4" s="6" t="str">
        <x:v>Net import change bn L</x:v>
      </x:c>
      <x:c r="I4" s="6" t="str">
        <x:v>Basis</x:v>
      </x:c>
    </x:row>
    <x:row r="5" ht="72" customHeight="1">
      <x:c r="A5" s="8" t="str">
        <x:v>Low imports</x:v>
      </x:c>
      <x:c r="B5" s="7" t="n">
        <x:f>('Balance'!D5-'Segments'!D9)*((1+'Assumptions'!B52)^5-1)</x:f>
        <x:v>0.502577413071174</x:v>
      </x:c>
      <x:c r="C5" s="7" t="n">
        <x:f>-('Segments'!D5+'Segments'!D10+'Segments'!D11)*(1+'Assumptions'!B52)^5*(1-(1-'Assumptions'!B53)^5)</x:f>
        <x:v>-1.1210241261215144</x:v>
      </x:c>
      <x:c r="D5" s="7" t="n">
        <x:f>-'Segments'!D10*(1+'Assumptions'!B52)^5*(1-'Assumptions'!B53)^5*'Assumptions'!B54*1.0*(1-'Assumptions'!B55)</x:f>
        <x:v>-0.6191584173707062</x:v>
      </x:c>
      <x:c r="E5" s="7" t="n">
        <x:f>-'Segments'!D9*(1-'Assumptions'!B56)*1.0</x:f>
        <x:v>-0.704808</x:v>
      </x:c>
      <x:c r="F5" s="7" t="n">
        <x:f>'Balance'!D6*('Assumptions'!B57-1)*1.0</x:f>
        <x:v>1.5338800696271018</x:v>
      </x:c>
      <x:c r="G5" s="7" t="n">
        <x:f>'Assumptions'!B46*365*'Assumptions'!B16/1000000000*'Assumptions'!B48*'Assumptions'!B59*MIN(1,MAX(0,(2030-'Assumptions'!B58+1)/2))+'Assumptions'!B47*365*'Assumptions'!B16/1000000000*'Assumptions'!B48*'Assumptions'!B61*MIN(1,MAX(0,(2030-'Assumptions'!B60+1)/2))</x:f>
        <x:v>5.666664912647508</x:v>
      </x:c>
      <x:c r="H5" s="7" t="n">
        <x:f>B5+C5+D5+E5-F5-G5</x:f>
        <x:v>-9.142958112695656</x:v>
      </x:c>
      <x:c r="I5" s="8" t="str">
        <x:v>Supply increases reduce imports; Mozambique is route diversion only and does not reduce national demand or imports</x:v>
      </x:c>
    </x:row>
    <x:row r="6" ht="72" customHeight="1">
      <x:c r="A6" s="8" t="str">
        <x:v>Base</x:v>
      </x:c>
      <x:c r="B6" s="7" t="n">
        <x:f>('Balance'!D5-'Segments'!D9)*((1+'Assumptions'!B63)^5-1)</x:f>
        <x:v>1.5381887998552797</x:v>
      </x:c>
      <x:c r="C6" s="7" t="n">
        <x:f>-('Segments'!D5+'Segments'!D10+'Segments'!D11)*(1+'Assumptions'!B63)^5*(1-(1-'Assumptions'!B64)^5)</x:f>
        <x:v>-0.7931698551445201</x:v>
      </x:c>
      <x:c r="D6" s="7" t="n">
        <x:f>-'Segments'!D10*(1+'Assumptions'!B63)^5*(1-'Assumptions'!B64)^5*'Assumptions'!B65*1.0*(1-'Assumptions'!B66)</x:f>
        <x:v>-0.33363108571683103</x:v>
      </x:c>
      <x:c r="E6" s="7" t="n">
        <x:f>-'Segments'!D9*(1-'Assumptions'!B67)*1.0</x:f>
        <x:v>-0.54216</x:v>
      </x:c>
      <x:c r="F6" s="7" t="n">
        <x:f>'Balance'!D6*('Assumptions'!B68-1)*1.0</x:f>
        <x:v>0</x:v>
      </x:c>
      <x:c r="G6" s="7" t="n">
        <x:f>'Assumptions'!B46*365*'Assumptions'!B16/1000000000*'Assumptions'!B48*'Assumptions'!B70*MIN(1,MAX(0,(2030-'Assumptions'!B69+1)/2))+'Assumptions'!B47*365*'Assumptions'!B16/1000000000*'Assumptions'!B48*'Assumptions'!B72*MIN(1,MAX(0,(2030-'Assumptions'!B71+1)/2))</x:f>
        <x:v>0</x:v>
      </x:c>
      <x:c r="H6" s="7" t="n">
        <x:f>B6+C6+D6+E6-F6-G6</x:f>
        <x:v>-0.13077214100607143</x:v>
      </x:c>
      <x:c r="I6" s="8" t="str">
        <x:v>Supply increases reduce imports; Mozambique is route diversion only and does not reduce national demand or imports</x:v>
      </x:c>
    </x:row>
    <x:row r="7" ht="72" customHeight="1">
      <x:c r="A7" s="8" t="str">
        <x:v>High imports</x:v>
      </x:c>
      <x:c r="B7" s="7" t="n">
        <x:f>('Balance'!D5-'Segments'!D9)*((1+'Assumptions'!B74)^5-1)</x:f>
        <x:v>2.6154266228205083</x:v>
      </x:c>
      <x:c r="C7" s="7" t="n">
        <x:f>-('Segments'!D5+'Segments'!D10+'Segments'!D11)*(1+'Assumptions'!B74)^5*(1-(1-'Assumptions'!B75)^5)</x:f>
        <x:v>-0.420695762564489</x:v>
      </x:c>
      <x:c r="D7" s="7" t="n">
        <x:f>-'Segments'!D10*(1+'Assumptions'!B74)^5*(1-'Assumptions'!B75)^5*'Assumptions'!B76*1.0*(1-'Assumptions'!B77)</x:f>
        <x:v>-0.11977710182335803</x:v>
      </x:c>
      <x:c r="E7" s="7" t="n">
        <x:f>-'Segments'!D9*(1-'Assumptions'!B78)*1.0</x:f>
        <x:v>0</x:v>
      </x:c>
      <x:c r="F7" s="7" t="n">
        <x:f>'Balance'!D6*('Assumptions'!B79-1)*1.0</x:f>
        <x:v>-1.5338800696271029</x:v>
      </x:c>
      <x:c r="G7" s="7" t="n">
        <x:f>'Assumptions'!B46*365*'Assumptions'!B16/1000000000*'Assumptions'!B48*'Assumptions'!B81*MIN(1,MAX(0,(2030-'Assumptions'!B80+1)/2))+'Assumptions'!B47*365*'Assumptions'!B16/1000000000*'Assumptions'!B48*'Assumptions'!B83*MIN(1,MAX(0,(2030-'Assumptions'!B82+1)/2))</x:f>
        <x:v>0</x:v>
      </x:c>
      <x:c r="H7" s="7" t="n">
        <x:f>B7+C7+D7+E7-F7-G7</x:f>
        <x:v>3.6088338280597636</x:v>
      </x:c>
      <x:c r="I7" s="8" t="str">
        <x:v>Supply increases reduce imports; Mozambique is route diversion only and does not reduce national demand or imports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2" hidden="0" customWidth="1"/>
    <x:col min="3" max="3" width="24" hidden="0" customWidth="1"/>
    <x:col min="4" max="4" width="75" hidden="0" customWidth="1"/>
  </x:cols>
  <x:sheetData>
    <x:row r="1" ht="27" customHeight="1">
      <x:c r="A1" s="3" t="str">
        <x:v>Mozambique nodes and route economics</x:v>
      </x:c>
      <x:c r="B1" s="2"/>
      <x:c r="C1" s="2"/>
      <x:c r="D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</x:row>
    <x:row r="3" ht="42" customHeight="1">
      <x:c r="A3" s="2"/>
      <x:c r="B3" s="2"/>
      <x:c r="C3" s="2"/>
      <x:c r="D3" s="2"/>
    </x:row>
    <x:row r="4" ht="40" customHeight="1">
      <x:c r="A4" s="6" t="str">
        <x:v>Item</x:v>
      </x:c>
      <x:c r="B4" s="6" t="str">
        <x:v>Value</x:v>
      </x:c>
      <x:c r="C4" s="6" t="str">
        <x:v>Unit</x:v>
      </x:c>
      <x:c r="D4" s="6" t="str">
        <x:v>Basis / source</x:v>
      </x:c>
    </x:row>
    <x:row r="5" ht="72" customHeight="1">
      <x:c r="A5" s="8" t="str">
        <x:v>Galp/IPG Matola</x:v>
      </x:c>
      <x:c r="B5" s="15" t="n">
        <x:v>60000</x:v>
      </x:c>
      <x:c r="C5" s="8" t="str">
        <x:v>petrol + diesel m3</x:v>
      </x:c>
      <x:c r="D5" s="8" t="str">
        <x:v>Operating; inaugurated 3 December 2020; https://www.galp.com/corp/pt/media/comunicados-de-imprensa/comunicado/id/1172</x:v>
      </x:c>
    </x:row>
    <x:row r="6" ht="72" customHeight="1">
      <x:c r="A6" s="8" t="str">
        <x:v>Petromoc Lingamo</x:v>
      </x:c>
      <x:c r="B6" s="15" t="n">
        <x:v>390000</x:v>
      </x:c>
      <x:c r="C6" s="8" t="str">
        <x:v>all liquid fuels m3</x:v>
      </x:c>
      <x:c r="D6" s="8" t="str">
        <x:v>Operating; includes jet and paraffin; capacity overlap with other operators unconfirmed; https://www.petromoc.co.mz/product-service/logistica/</x:v>
      </x:c>
    </x:row>
    <x:row r="7" ht="72" customHeight="1">
      <x:c r="A7" s="8" t="str">
        <x:v>Petromoc Nacala</x:v>
      </x:c>
      <x:c r="B7" s="15" t="n">
        <x:v>47500</x:v>
      </x:c>
      <x:c r="C7" s="8" t="str">
        <x:v>all liquid fuels m3</x:v>
      </x:c>
      <x:c r="D7" s="8" t="str">
        <x:v>Northern regional supply; no incremental SA allocation assumed; https://www.petromoc.co.mz/product-service/logistica/</x:v>
      </x:c>
    </x:row>
    <x:row r="8" ht="72" customHeight="1">
      <x:c r="A8" s="8" t="str">
        <x:v>Petromoc Pemba</x:v>
      </x:c>
      <x:c r="B8" s="15" t="n">
        <x:v>18000</x:v>
      </x:c>
      <x:c r="C8" s="8" t="str">
        <x:v>all liquid fuels m3</x:v>
      </x:c>
      <x:c r="D8" s="8" t="str">
        <x:v>Northern regional supply; no incremental SA allocation assumed; https://www.petromoc.co.mz/product-service/logistica/</x:v>
      </x:c>
    </x:row>
    <x:row r="9" ht="72" customHeight="1">
      <x:c r="A9" s="8" t="str">
        <x:v>Galp/IPG Beira</x:v>
      </x:c>
      <x:c r="B9" s="15"/>
      <x:c r="C9" s="8" t="str">
        <x:v>capacity not established here</x:v>
      </x:c>
      <x:c r="D9" s="8" t="str">
        <x:v>Operating since February 2021; central regional supply; https://www.galp.com/mz/pt-pt/institucional/logistica</x:v>
      </x:c>
    </x:row>
    <x:row r="10" ht="72" customHeight="1">
      <x:c r="A10" s="8" t="str">
        <x:v>Temane PSA</x:v>
      </x:c>
      <x:c r="B10" s="15" t="n">
        <x:v>4000</x:v>
      </x:c>
      <x:c r="C10" s="8" t="str">
        <x:v>barrels light oil/day</x:v>
      </x:c>
      <x:c r="D10" s="8" t="str">
        <x:v>Production began December 2025; light oil, gas and LPG, not finished petrol/diesel; https://sasol.com/our-businesses/energy/gas-sourcing-and-operations</x:v>
      </x:c>
    </x:row>
    <x:row r="11" ht="72" customHeight="1">
      <x:c r="A11" s="8" t="str">
        <x:v>CFM Matola berth</x:v>
      </x:c>
      <x:c r="B11" s="15" t="n">
        <x:v>5000000</x:v>
      </x:c>
      <x:c r="C11" s="8" t="str">
        <x:v>tonnes/year all petroleum</x:v>
      </x:c>
      <x:c r="D11" s="8" t="str">
        <x:v>Shared berth capacity; not additive to storage or SA throughput; https://www.cfm.co.mz/terminal-de-combustiveis/</x:v>
      </x:c>
    </x:row>
    <x:row r="12" ht="72" customHeight="1">
      <x:c r="A12" s="8" t="str">
        <x:v>Komatipoort imports 2019</x:v>
      </x:c>
      <x:c r="B12" s="7" t="n">
        <x:f>'Evidence'!B86+'Evidence'!B87</x:f>
        <x:v>0.25139441304</x:v>
      </x:c>
      <x:c r="C12" s="8" t="str">
        <x:v>bn L</x:v>
      </x:c>
      <x:c r="D12" s="8" t="str">
        <x:v>SARS office proxy; not terminal-specific; litres only</x:v>
      </x:c>
    </x:row>
    <x:row r="13" ht="72" customHeight="1">
      <x:c r="A13" s="8" t="str">
        <x:v>Komatipoort imports 2020</x:v>
      </x:c>
      <x:c r="B13" s="7" t="n">
        <x:f>'Evidence'!B94+'Evidence'!B95</x:f>
        <x:v>0.23838171999000002</x:v>
      </x:c>
      <x:c r="C13" s="8" t="str">
        <x:v>bn L</x:v>
      </x:c>
      <x:c r="D13" s="8" t="str">
        <x:v>SARS office proxy; not terminal-specific; litres only</x:v>
      </x:c>
    </x:row>
    <x:row r="14" ht="72" customHeight="1">
      <x:c r="A14" s="8" t="str">
        <x:v>Komatipoort imports 2021</x:v>
      </x:c>
      <x:c r="B14" s="7" t="n">
        <x:f>'Evidence'!B102+'Evidence'!B103</x:f>
        <x:v>0.240790107</x:v>
      </x:c>
      <x:c r="C14" s="8" t="str">
        <x:v>bn L</x:v>
      </x:c>
      <x:c r="D14" s="8" t="str">
        <x:v>SARS office proxy; not terminal-specific; litres only</x:v>
      </x:c>
    </x:row>
    <x:row r="15" ht="72" customHeight="1">
      <x:c r="A15" s="8" t="str">
        <x:v>Komatipoort imports 2022</x:v>
      </x:c>
      <x:c r="B15" s="7" t="n">
        <x:f>'Evidence'!B110+'Evidence'!B111</x:f>
        <x:v>0.30296426532</x:v>
      </x:c>
      <x:c r="C15" s="8" t="str">
        <x:v>bn L</x:v>
      </x:c>
      <x:c r="D15" s="8" t="str">
        <x:v>SARS office proxy; not terminal-specific; litres only</x:v>
      </x:c>
    </x:row>
    <x:row r="16" ht="72" customHeight="1">
      <x:c r="A16" s="8" t="str">
        <x:v>Komatipoort imports 2023</x:v>
      </x:c>
      <x:c r="B16" s="7" t="n">
        <x:f>'Evidence'!B118+'Evidence'!B119</x:f>
        <x:v>0.254696261</x:v>
      </x:c>
      <x:c r="C16" s="8" t="str">
        <x:v>bn L</x:v>
      </x:c>
      <x:c r="D16" s="8" t="str">
        <x:v>SARS office proxy; not terminal-specific; litres only</x:v>
      </x:c>
    </x:row>
    <x:row r="17" ht="72" customHeight="1">
      <x:c r="A17" s="8" t="str">
        <x:v>Komatipoort imports 2024</x:v>
      </x:c>
      <x:c r="B17" s="7" t="n">
        <x:f>'Evidence'!B126+'Evidence'!B127</x:f>
        <x:v>0.18682962784999999</x:v>
      </x:c>
      <x:c r="C17" s="8" t="str">
        <x:v>bn L</x:v>
      </x:c>
      <x:c r="D17" s="8" t="str">
        <x:v>SARS office proxy; not terminal-specific; litres only</x:v>
      </x:c>
    </x:row>
    <x:row r="18" ht="72" customHeight="1">
      <x:c r="A18" s="8" t="str">
        <x:v>Komatipoort imports 2025</x:v>
      </x:c>
      <x:c r="B18" s="7" t="n">
        <x:f>'Evidence'!B134+'Evidence'!B135</x:f>
        <x:v>0.08643899099999999</x:v>
      </x:c>
      <x:c r="C18" s="8" t="str">
        <x:v>bn L</x:v>
      </x:c>
      <x:c r="D18" s="8" t="str">
        <x:v>SARS office proxy; not terminal-specific; litres only</x:v>
      </x:c>
    </x:row>
    <x:row r="19" ht="72" customHeight="1">
      <x:c r="A19" s="8" t="str">
        <x:v>Durban road logistics</x:v>
      </x:c>
      <x:c r="B19" s="7" t="n">
        <x:f>2*'Assumptions'!B26*'Assumptions'!B28/'Assumptions'!B29+'Assumptions'!B30</x:f>
        <x:v>0.95</x:v>
      </x:c>
      <x:c r="C19" s="8" t="str">
        <x:v>ZAR/L</x:v>
      </x:c>
      <x:c r="D19" s="8" t="str">
        <x:v>Illustrative same inland destination; round-trip truck cost includes empty return; excludes common product price and taxes</x:v>
      </x:c>
    </x:row>
    <x:row r="20" ht="72" customHeight="1">
      <x:c r="A20" s="8" t="str">
        <x:v>Matola road logistics</x:v>
      </x:c>
      <x:c r="B20" s="7" t="n">
        <x:f>2*'Assumptions'!B27*'Assumptions'!B28/'Assumptions'!B29+'Assumptions'!B31+'Assumptions'!B32+'Assumptions'!B33*'Assumptions'!B34/'Assumptions'!B29+'Assumptions'!B35*'Assumptions'!B36*'Assumptions'!B33/365+'Assumptions'!B37</x:f>
        <x:v>1.1424315068493152</x:v>
      </x:c>
      <x:c r="C20" s="8" t="str">
        <x:v>ZAR/L</x:v>
      </x:c>
      <x:c r="D20" s="8" t="str">
        <x:v>Illustrative costs, not freight quotes. Landed product premium is editable; comparable tax treatment assumed, not a legal assessment</x:v>
      </x:c>
    </x:row>
    <x:row r="21" ht="72" customHeight="1">
      <x:c r="A21" s="8" t="str">
        <x:v>Matola premium vs Durban</x:v>
      </x:c>
      <x:c r="B21" s="7" t="n">
        <x:f>'Mozambique'!B20-'Mozambique'!B19</x:f>
        <x:v>0.1924315068493152</x:v>
      </x:c>
      <x:c r="C21" s="8" t="str">
        <x:v>ZAR/L</x:v>
      </x:c>
      <x:c r="D21" s="8" t="str">
        <x:v>Positive value means Matola is more expensive under these assumptions</x:v>
      </x:c>
    </x:row>
    <x:row r="22" ht="72" customHeight="1">
      <x:c r="A22" s="8" t="str">
        <x:v>Required Matola landed discount</x:v>
      </x:c>
      <x:c r="B22" s="7" t="n">
        <x:f>MAX(0,'Mozambique'!B20-'Mozambique'!B19)</x:f>
        <x:v>0.1924315068493152</x:v>
      </x:c>
      <x:c r="C22" s="8" t="str">
        <x:v>ZAR/L</x:v>
      </x:c>
      <x:c r="D22" s="8" t="str">
        <x:v>Discount required to offset the modelled logistics disadvantage</x:v>
      </x:c>
    </x:row>
    <x:row r="23" ht="72" customHeight="1">
      <x:c r="A23" s="8" t="str">
        <x:v>Galp SA volume screen</x:v>
      </x:c>
      <x:c r="B23" s="7" t="n">
        <x:f>'Mozambique'!B5*'Assumptions'!B38*'Assumptions'!B39*12*'Assumptions'!B40/1000000</x:f>
        <x:v>0.1836</x:v>
      </x:c>
      <x:c r="C23" s="8" t="str">
        <x:v>bn L/year</x:v>
      </x:c>
      <x:c r="D23" s="8" t="str">
        <x:v>Individual facility sensitivity only; no customer commitment. Not additive to Petromoc pending asset overlap check</x:v>
      </x:c>
    </x:row>
    <x:row r="24" ht="72" customHeight="1">
      <x:c r="A24" s="8" t="str">
        <x:v>Petromoc SA volume screen</x:v>
      </x:c>
      <x:c r="B24" s="7" t="n">
        <x:f>'Mozambique'!B6*'Assumptions'!B41*'Assumptions'!B42*'Assumptions'!B43*12*'Assumptions'!B44/1000000</x:f>
        <x:v>0.2808</x:v>
      </x:c>
      <x:c r="C24" s="8" t="str">
        <x:v>bn L/year</x:v>
      </x:c>
      <x:c r="D24" s="8" t="str">
        <x:v>Individual facility sensitivity; assumed petrol/diesel share, working capacity and SA allocation. Not added to Galp</x:v>
      </x:c>
    </x:row>
    <x:row r="25" ht="72" customHeight="1">
      <x:c r="A25" s="8" t="str">
        <x:v>Matola premium: Low border delay</x:v>
      </x:c>
      <x:c r="B25" s="7" t="n">
        <x:f>'Mozambique'!B20-'Mozambique'!B19+('Assumptions'!B50-'Assumptions'!B33)*('Assumptions'!B34/'Assumptions'!B29+'Assumptions'!B35*'Assumptions'!B36/365)</x:f>
        <x:v>0.08750000000000013</x:v>
      </x:c>
      <x:c r="C25" s="8" t="str">
        <x:v>ZAR/L</x:v>
      </x:c>
      <x:c r="D25" s="8" t="str">
        <x:v>Delay sensitivity; see editable days in Assumptions; all other route inputs fixed</x:v>
      </x:c>
    </x:row>
    <x:row r="26" ht="72" customHeight="1">
      <x:c r="A26" s="8" t="str">
        <x:v>Matola premium: Base border delay</x:v>
      </x:c>
      <x:c r="B26" s="7" t="n">
        <x:f>'Mozambique'!B20-'Mozambique'!B19+('Assumptions'!B33-'Assumptions'!B33)*('Assumptions'!B34/'Assumptions'!B29+'Assumptions'!B35*'Assumptions'!B36/365)</x:f>
        <x:v>0.1924315068493152</x:v>
      </x:c>
      <x:c r="C26" s="8" t="str">
        <x:v>ZAR/L</x:v>
      </x:c>
      <x:c r="D26" s="8" t="str">
        <x:v>Delay sensitivity; see editable days in Assumptions; all other route inputs fixed</x:v>
      </x:c>
    </x:row>
    <x:row r="27" ht="72" customHeight="1">
      <x:c r="A27" s="8" t="str">
        <x:v>Matola premium: High border delay</x:v>
      </x:c>
      <x:c r="B27" s="7" t="n">
        <x:f>'Mozambique'!B20-'Mozambique'!B19+('Assumptions'!B51-'Assumptions'!B33)*('Assumptions'!B34/'Assumptions'!B29+'Assumptions'!B35*'Assumptions'!B36/365)</x:f>
        <x:v>0.40229452054794534</x:v>
      </x:c>
      <x:c r="C27" s="8" t="str">
        <x:v>ZAR/L</x:v>
      </x:c>
      <x:c r="D27" s="8" t="str">
        <x:v>Delay sensitivity; see editable days in Assumptions; all other route inputs fixed</x:v>
      </x:c>
    </x:row>
    <x:row r="28" ht="72" customHeight="1">
      <x:c r="A28" s="8" t="str">
        <x:v>Trucks/day: Low imports diversion</x:v>
      </x:c>
      <x:c r="B28" s="7" t="n">
        <x:f>'Assumptions'!B62*1000000000/'Assumptions'!B29/'Assumptions'!B45</x:f>
        <x:v>45.45454545454545</x:v>
      </x:c>
      <x:c r="C28" s="8" t="str">
        <x:v>loaded trucks/day</x:v>
      </x:c>
      <x:c r="D28" s="8" t="str">
        <x:v>Incremental SA flow scenario; compare with terminal loading and border availability, not gross port capacity</x:v>
      </x:c>
    </x:row>
    <x:row r="29" ht="72" customHeight="1">
      <x:c r="A29" s="8" t="str">
        <x:v>Trucks/day: Base diversion</x:v>
      </x:c>
      <x:c r="B29" s="7" t="n">
        <x:f>'Assumptions'!B73*1000000000/'Assumptions'!B29/'Assumptions'!B45</x:f>
        <x:v>15.151515151515152</x:v>
      </x:c>
      <x:c r="C29" s="8" t="str">
        <x:v>loaded trucks/day</x:v>
      </x:c>
      <x:c r="D29" s="8" t="str">
        <x:v>Incremental SA flow scenario; compare with terminal loading and border availability, not gross port capacity</x:v>
      </x:c>
    </x:row>
    <x:row r="30" ht="72" customHeight="1">
      <x:c r="A30" s="8" t="str">
        <x:v>Trucks/day: High imports diversion</x:v>
      </x:c>
      <x:c r="B30" s="7" t="n">
        <x:f>'Assumptions'!B84*1000000000/'Assumptions'!B29/'Assumptions'!B45</x:f>
        <x:v>3.787878787878788</x:v>
      </x:c>
      <x:c r="C30" s="8" t="str">
        <x:v>loaded trucks/day</x:v>
      </x:c>
      <x:c r="D30" s="8" t="str">
        <x:v>Incremental SA flow scenario; compare with terminal loading and border availability, not gross port capacity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20" hidden="0" customWidth="1"/>
    <x:col min="3" max="3" width="43" hidden="0" customWidth="1"/>
    <x:col min="4" max="4" width="75" hidden="0" customWidth="1"/>
  </x:cols>
  <x:sheetData>
    <x:row r="1" ht="27" customHeight="1">
      <x:c r="A1" s="3" t="str">
        <x:v>Editable analytical assumptions</x:v>
      </x:c>
      <x:c r="B1" s="2"/>
      <x:c r="C1" s="2"/>
      <x:c r="D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</x:row>
    <x:row r="3" ht="42" customHeight="1">
      <x:c r="A3" s="2"/>
      <x:c r="B3" s="2"/>
      <x:c r="C3" s="2"/>
      <x:c r="D3" s="2"/>
    </x:row>
    <x:row r="4" ht="40" customHeight="1">
      <x:c r="A4" s="6" t="str">
        <x:v>Assumption</x:v>
      </x:c>
      <x:c r="B4" s="6" t="str">
        <x:v>Value</x:v>
      </x:c>
      <x:c r="C4" s="6" t="str">
        <x:v>Unit / basis</x:v>
      </x:c>
      <x:c r="D4" s="6" t="str">
        <x:v>Interpretation</x:v>
      </x:c>
    </x:row>
    <x:row r="5" ht="65" customHeight="1">
      <x:c r="A5" s="8" t="str">
        <x:v>petrol_activity_growth</x:v>
      </x:c>
      <x:c r="B5" s="17" t="n">
        <x:v>0.005</x:v>
      </x:c>
      <x:c r="C5" s="8" t="str">
        <x:v>fraction</x:v>
      </x:c>
      <x:c r="D5" s="8" t="str">
        <x:v>Analyst sensitivity; not measured or independently approved</x:v>
      </x:c>
    </x:row>
    <x:row r="6" ht="65" customHeight="1">
      <x:c r="A6" s="8" t="str">
        <x:v>petrol_efficiency_change</x:v>
      </x:c>
      <x:c r="B6" s="17" t="n">
        <x:v>0.015</x:v>
      </x:c>
      <x:c r="C6" s="8" t="str">
        <x:v>fraction</x:v>
      </x:c>
      <x:c r="D6" s="8" t="str">
        <x:v>Analyst sensitivity; not measured or independently approved</x:v>
      </x:c>
    </x:row>
    <x:row r="7" ht="65" customHeight="1">
      <x:c r="A7" s="8" t="str">
        <x:v>nonpower_diesel_growth</x:v>
      </x:c>
      <x:c r="B7" s="17" t="n">
        <x:v>0.01</x:v>
      </x:c>
      <x:c r="C7" s="8" t="str">
        <x:v>fraction</x:v>
      </x:c>
      <x:c r="D7" s="8" t="str">
        <x:v>Analyst sensitivity; not measured or independently approved</x:v>
      </x:c>
    </x:row>
    <x:row r="8" ht="65" customHeight="1">
      <x:c r="A8" s="8" t="str">
        <x:v>road_diesel_efficiency_change</x:v>
      </x:c>
      <x:c r="B8" s="17" t="n">
        <x:v>0.005</x:v>
      </x:c>
      <x:c r="C8" s="8" t="str">
        <x:v>fraction</x:v>
      </x:c>
      <x:c r="D8" s="8" t="str">
        <x:v>Analyst sensitivity; not measured or independently approved</x:v>
      </x:c>
    </x:row>
    <x:row r="9" ht="65" customHeight="1">
      <x:c r="A9" s="8" t="str">
        <x:v>petrol_road_share</x:v>
      </x:c>
      <x:c r="B9" s="17" t="n">
        <x:v>0.97</x:v>
      </x:c>
      <x:c r="C9" s="8" t="str">
        <x:v>fraction</x:v>
      </x:c>
      <x:c r="D9" s="8" t="str">
        <x:v>Analyst sensitivity; not measured or independently approved</x:v>
      </x:c>
    </x:row>
    <x:row r="10" ht="65" customHeight="1">
      <x:c r="A10" s="8" t="str">
        <x:v>road_diesel_freight_share</x:v>
      </x:c>
      <x:c r="B10" s="17" t="n">
        <x:v>0.75</x:v>
      </x:c>
      <x:c r="C10" s="8" t="str">
        <x:v>fraction</x:v>
      </x:c>
      <x:c r="D10" s="8" t="str">
        <x:v>Analyst sensitivity; not measured or independently approved</x:v>
      </x:c>
    </x:row>
    <x:row r="11" ht="65" customHeight="1">
      <x:c r="A11" s="8" t="str">
        <x:v>ipp_litres_per_kwh</x:v>
      </x:c>
      <x:c r="B11" s="16" t="n">
        <x:v>0.31</x:v>
      </x:c>
      <x:c r="C11" s="8" t="str">
        <x:v>litres/kWh</x:v>
      </x:c>
      <x:c r="D11" s="8" t="str">
        <x:v>Analyst sensitivity; not measured or independently approved</x:v>
      </x:c>
    </x:row>
    <x:row r="12" ht="65" customHeight="1">
      <x:c r="A12" s="8" t="str">
        <x:v>eskom_diesel_share</x:v>
      </x:c>
      <x:c r="B12" s="17" t="n">
        <x:v>1</x:v>
      </x:c>
      <x:c r="C12" s="8" t="str">
        <x:v>fraction</x:v>
      </x:c>
      <x:c r="D12" s="8" t="str">
        <x:v>Upper-bound simplification: diesel + kerosene treated as diesel; calendar year proxied by March financial year</x:v>
      </x:c>
    </x:row>
    <x:row r="13" ht="65" customHeight="1">
      <x:c r="A13" s="8" t="str">
        <x:v>private_power_2023</x:v>
      </x:c>
      <x:c r="B13" s="16" t="n">
        <x:v>0.8</x:v>
      </x:c>
      <x:c r="C13" s="8" t="str">
        <x:v>bn litres</x:v>
      </x:c>
      <x:c r="D13" s="8" t="str">
        <x:v>Assumed private backup within national demand; allocation replaces part of other use, not additional national volume</x:v>
      </x:c>
    </x:row>
    <x:row r="14" ht="65" customHeight="1">
      <x:c r="A14" s="8" t="str">
        <x:v>private_power_2024</x:v>
      </x:c>
      <x:c r="B14" s="16" t="n">
        <x:v>0.6</x:v>
      </x:c>
      <x:c r="C14" s="8" t="str">
        <x:v>bn litres</x:v>
      </x:c>
      <x:c r="D14" s="8" t="str">
        <x:v>Assumed private backup within national demand; allocation replaces part of other use, not additional national volume</x:v>
      </x:c>
    </x:row>
    <x:row r="15" ht="65" customHeight="1">
      <x:c r="A15" s="8" t="str">
        <x:v>private_power_2025</x:v>
      </x:c>
      <x:c r="B15" s="16" t="n">
        <x:v>0.2</x:v>
      </x:c>
      <x:c r="C15" s="8" t="str">
        <x:v>bn litres</x:v>
      </x:c>
      <x:c r="D15" s="8" t="str">
        <x:v>Assumed private backup within national demand; allocation replaces part of other use, not additional national volume</x:v>
      </x:c>
    </x:row>
    <x:row r="16" ht="65" customHeight="1">
      <x:c r="A16" s="8" t="str">
        <x:v>barrel_litres</x:v>
      </x:c>
      <x:c r="B16" s="16" t="n">
        <x:v>158.987294928</x:v>
      </x:c>
      <x:c r="C16" s="8" t="str">
        <x:v>litres</x:v>
      </x:c>
      <x:c r="D16" s="8" t="str">
        <x:v>Analyst sensitivity; not measured or independently approved</x:v>
      </x:c>
    </x:row>
    <x:row r="17" ht="65" customHeight="1">
      <x:c r="A17" s="8" t="str">
        <x:v>btu_mj</x:v>
      </x:c>
      <x:c r="B17" s="16" t="n">
        <x:v>0.00105505585262</x:v>
      </x:c>
      <x:c r="C17" s="8" t="str">
        <x:v>MJ/Btu</x:v>
      </x:c>
      <x:c r="D17" s="8" t="str">
        <x:v>Analyst sensitivity; not measured or independently approved</x:v>
      </x:c>
    </x:row>
    <x:row r="18" ht="65" customHeight="1">
      <x:c r="A18" s="8" t="str">
        <x:v>secunda_pd_share</x:v>
      </x:c>
      <x:c r="B18" s="17" t="n">
        <x:v>0.9</x:v>
      </x:c>
      <x:c r="C18" s="8" t="str">
        <x:v>fraction</x:v>
      </x:c>
      <x:c r="D18" s="8" t="str">
        <x:v>Assume 90% of refined products are petrol/diesel; published approximate 65/35 split applied within that subset</x:v>
      </x:c>
    </x:row>
    <x:row r="19" ht="65" customHeight="1">
      <x:c r="A19" s="8" t="str">
        <x:v>secunda_petrol_share_of_pd</x:v>
      </x:c>
      <x:c r="B19" s="17" t="n">
        <x:v>0.65</x:v>
      </x:c>
      <x:c r="C19" s="8" t="str">
        <x:v>fraction</x:v>
      </x:c>
      <x:c r="D19" s="8" t="str">
        <x:v>Assume 90% of refined products are petrol/diesel; published approximate 65/35 split applied within that subset</x:v>
      </x:c>
    </x:row>
    <x:row r="20" ht="65" customHeight="1">
      <x:c r="A20" s="8" t="str">
        <x:v>natref_share</x:v>
      </x:c>
      <x:c r="B20" s="17" t="n">
        <x:v>0.6364</x:v>
      </x:c>
      <x:c r="C20" s="8" t="str">
        <x:v>fraction</x:v>
      </x:c>
      <x:c r="D20" s="8" t="str">
        <x:v>FY2025 Sasol output / 63.64% ownership; product yields use midpoints of published 2021 ranges</x:v>
      </x:c>
    </x:row>
    <x:row r="21" ht="65" customHeight="1">
      <x:c r="A21" s="8" t="str">
        <x:v>natref_petrol_yield</x:v>
      </x:c>
      <x:c r="B21" s="17" t="n">
        <x:v>0.305</x:v>
      </x:c>
      <x:c r="C21" s="8" t="str">
        <x:v>fraction</x:v>
      </x:c>
      <x:c r="D21" s="8" t="str">
        <x:v>FY2025 Sasol output / 63.64% ownership; product yields use midpoints of published 2021 ranges</x:v>
      </x:c>
    </x:row>
    <x:row r="22" ht="65" customHeight="1">
      <x:c r="A22" s="8" t="str">
        <x:v>natref_diesel_yield</x:v>
      </x:c>
      <x:c r="B22" s="17" t="n">
        <x:v>0.34</x:v>
      </x:c>
      <x:c r="C22" s="8" t="str">
        <x:v>fraction</x:v>
      </x:c>
      <x:c r="D22" s="8" t="str">
        <x:v>FY2025 Sasol output / 63.64% ownership; product yields use midpoints of published 2021 ranges</x:v>
      </x:c>
    </x:row>
    <x:row r="23" ht="65" customHeight="1">
      <x:c r="A23" s="8" t="str">
        <x:v>astron_pd_share</x:v>
      </x:c>
      <x:c r="B23" s="17" t="n">
        <x:v>0.8</x:v>
      </x:c>
      <x:c r="C23" s="8" t="str">
        <x:v>fraction</x:v>
      </x:c>
      <x:c r="D23" s="8" t="str">
        <x:v>Convert all-product energy to litres, then assume 80% petrol/diesel and 50/50 volume mix</x:v>
      </x:c>
    </x:row>
    <x:row r="24" ht="65" customHeight="1">
      <x:c r="A24" s="8" t="str">
        <x:v>astron_petrol_share_of_pd</x:v>
      </x:c>
      <x:c r="B24" s="17" t="n">
        <x:v>0.5</x:v>
      </x:c>
      <x:c r="C24" s="8" t="str">
        <x:v>fraction</x:v>
      </x:c>
      <x:c r="D24" s="8" t="str">
        <x:v>Convert all-product energy to litres, then assume 80% petrol/diesel and 50/50 volume mix</x:v>
      </x:c>
    </x:row>
    <x:row r="25" ht="65" customHeight="1">
      <x:c r="A25" s="8" t="str">
        <x:v>astron_mj_per_litre</x:v>
      </x:c>
      <x:c r="B25" s="16" t="n">
        <x:v>35.5</x:v>
      </x:c>
      <x:c r="C25" s="8" t="str">
        <x:v>MJ/litre</x:v>
      </x:c>
      <x:c r="D25" s="8" t="str">
        <x:v>Convert all-product energy to litres, then assume 80% petrol/diesel and 50/50 volume mix</x:v>
      </x:c>
    </x:row>
    <x:row r="26" ht="65" customHeight="1">
      <x:c r="A26" s="8" t="str">
        <x:v>road_distance_durban_km</x:v>
      </x:c>
      <x:c r="B26" s="16" t="n">
        <x:v>600</x:v>
      </x:c>
      <x:c r="C26" s="8" t="str">
        <x:v>km</x:v>
      </x:c>
      <x:c r="D26" s="8" t="str">
        <x:v>Analyst sensitivity; not measured or independently approved</x:v>
      </x:c>
    </x:row>
    <x:row r="27" ht="65" customHeight="1">
      <x:c r="A27" s="8" t="str">
        <x:v>road_distance_matola_km</x:v>
      </x:c>
      <x:c r="B27" s="16" t="n">
        <x:v>550</x:v>
      </x:c>
      <x:c r="C27" s="8" t="str">
        <x:v>km</x:v>
      </x:c>
      <x:c r="D27" s="8" t="str">
        <x:v>Analyst sensitivity; not measured or independently approved</x:v>
      </x:c>
    </x:row>
    <x:row r="28" ht="65" customHeight="1">
      <x:c r="A28" s="8" t="str">
        <x:v>truck_cost_zar_km</x:v>
      </x:c>
      <x:c r="B28" s="16" t="n">
        <x:v>25</x:v>
      </x:c>
      <x:c r="C28" s="8" t="str">
        <x:v>ZAR/km</x:v>
      </x:c>
      <x:c r="D28" s="8" t="str">
        <x:v>Analyst sensitivity; not measured or independently approved</x:v>
      </x:c>
    </x:row>
    <x:row r="29" ht="65" customHeight="1">
      <x:c r="A29" s="8" t="str">
        <x:v>truck_payload_litres</x:v>
      </x:c>
      <x:c r="B29" s="16" t="n">
        <x:v>40000</x:v>
      </x:c>
      <x:c r="C29" s="8" t="str">
        <x:v>litres</x:v>
      </x:c>
      <x:c r="D29" s="8" t="str">
        <x:v>Analyst sensitivity; not measured or independently approved</x:v>
      </x:c>
    </x:row>
    <x:row r="30" ht="65" customHeight="1">
      <x:c r="A30" s="8" t="str">
        <x:v>terminal_cost_durban_zar_l</x:v>
      </x:c>
      <x:c r="B30" s="16" t="n">
        <x:v>0.2</x:v>
      </x:c>
      <x:c r="C30" s="8" t="str">
        <x:v>ZAR/litre</x:v>
      </x:c>
      <x:c r="D30" s="8" t="str">
        <x:v>Analyst sensitivity; not measured or independently approved</x:v>
      </x:c>
    </x:row>
    <x:row r="31" ht="65" customHeight="1">
      <x:c r="A31" s="8" t="str">
        <x:v>terminal_cost_matola_zar_l</x:v>
      </x:c>
      <x:c r="B31" s="16" t="n">
        <x:v>0.25</x:v>
      </x:c>
      <x:c r="C31" s="8" t="str">
        <x:v>ZAR/litre</x:v>
      </x:c>
      <x:c r="D31" s="8" t="str">
        <x:v>Analyst sensitivity; not measured or independently approved</x:v>
      </x:c>
    </x:row>
    <x:row r="32" ht="65" customHeight="1">
      <x:c r="A32" s="8" t="str">
        <x:v>border_cost_matola_zar_l</x:v>
      </x:c>
      <x:c r="B32" s="16" t="n">
        <x:v>0.1</x:v>
      </x:c>
      <x:c r="C32" s="8" t="str">
        <x:v>ZAR/litre</x:v>
      </x:c>
      <x:c r="D32" s="8" t="str">
        <x:v>Analyst sensitivity; not measured or independently approved</x:v>
      </x:c>
    </x:row>
    <x:row r="33" ht="65" customHeight="1">
      <x:c r="A33" s="8" t="str">
        <x:v>border_delay_days</x:v>
      </x:c>
      <x:c r="B33" s="16" t="n">
        <x:v>1</x:v>
      </x:c>
      <x:c r="C33" s="8" t="str">
        <x:v>days</x:v>
      </x:c>
      <x:c r="D33" s="8" t="str">
        <x:v>Analyst sensitivity; not measured or independently approved</x:v>
      </x:c>
    </x:row>
    <x:row r="34" ht="65" customHeight="1">
      <x:c r="A34" s="8" t="str">
        <x:v>truck_delay_zar_day</x:v>
      </x:c>
      <x:c r="B34" s="16" t="n">
        <x:v>4000</x:v>
      </x:c>
      <x:c r="C34" s="8" t="str">
        <x:v>ZAR/day</x:v>
      </x:c>
      <x:c r="D34" s="8" t="str">
        <x:v>Analyst sensitivity; not measured or independently approved</x:v>
      </x:c>
    </x:row>
    <x:row r="35" ht="65" customHeight="1">
      <x:c r="A35" s="8" t="str">
        <x:v>inventory_price_zar_l</x:v>
      </x:c>
      <x:c r="B35" s="16" t="n">
        <x:v>15</x:v>
      </x:c>
      <x:c r="C35" s="8" t="str">
        <x:v>ZAR/litre</x:v>
      </x:c>
      <x:c r="D35" s="8" t="str">
        <x:v>Analyst sensitivity; not measured or independently approved</x:v>
      </x:c>
    </x:row>
    <x:row r="36" ht="65" customHeight="1">
      <x:c r="A36" s="8" t="str">
        <x:v>financing_rate</x:v>
      </x:c>
      <x:c r="B36" s="17" t="n">
        <x:v>0.12</x:v>
      </x:c>
      <x:c r="C36" s="8" t="str">
        <x:v>fraction</x:v>
      </x:c>
      <x:c r="D36" s="8" t="str">
        <x:v>Analyst sensitivity; not measured or independently approved</x:v>
      </x:c>
    </x:row>
    <x:row r="37" ht="65" customHeight="1">
      <x:c r="A37" s="8" t="str">
        <x:v>matola_landed_premium_zar_l</x:v>
      </x:c>
      <x:c r="B37" s="16" t="n">
        <x:v>0</x:v>
      </x:c>
      <x:c r="C37" s="8" t="str">
        <x:v>ZAR/litre</x:v>
      </x:c>
      <x:c r="D37" s="8" t="str">
        <x:v>Analyst sensitivity; not measured or independently approved</x:v>
      </x:c>
    </x:row>
    <x:row r="38" ht="65" customHeight="1">
      <x:c r="A38" s="8" t="str">
        <x:v>galp_working_fraction</x:v>
      </x:c>
      <x:c r="B38" s="17" t="n">
        <x:v>0.85</x:v>
      </x:c>
      <x:c r="C38" s="8" t="str">
        <x:v>fraction</x:v>
      </x:c>
      <x:c r="D38" s="8" t="str">
        <x:v>Analyst sensitivity; not measured or independently approved</x:v>
      </x:c>
    </x:row>
    <x:row r="39" ht="65" customHeight="1">
      <x:c r="A39" s="8" t="str">
        <x:v>galp_monthly_turns</x:v>
      </x:c>
      <x:c r="B39" s="16" t="n">
        <x:v>1.5</x:v>
      </x:c>
      <x:c r="C39" s="8" t="str">
        <x:v>turns/month</x:v>
      </x:c>
      <x:c r="D39" s="8" t="str">
        <x:v>Analyst sensitivity; not measured or independently approved</x:v>
      </x:c>
    </x:row>
    <x:row r="40" ht="65" customHeight="1">
      <x:c r="A40" s="8" t="str">
        <x:v>galp_sa_allocation</x:v>
      </x:c>
      <x:c r="B40" s="17" t="n">
        <x:v>0.2</x:v>
      </x:c>
      <x:c r="C40" s="8" t="str">
        <x:v>fraction</x:v>
      </x:c>
      <x:c r="D40" s="8" t="str">
        <x:v>Analyst sensitivity; not measured or independently approved</x:v>
      </x:c>
    </x:row>
    <x:row r="41" ht="65" customHeight="1">
      <x:c r="A41" s="8" t="str">
        <x:v>petromoc_pd_fraction</x:v>
      </x:c>
      <x:c r="B41" s="17" t="n">
        <x:v>0.75</x:v>
      </x:c>
      <x:c r="C41" s="8" t="str">
        <x:v>fraction</x:v>
      </x:c>
      <x:c r="D41" s="8" t="str">
        <x:v>Analyst sensitivity; not measured or independently approved</x:v>
      </x:c>
    </x:row>
    <x:row r="42" ht="65" customHeight="1">
      <x:c r="A42" s="8" t="str">
        <x:v>petromoc_working_fraction</x:v>
      </x:c>
      <x:c r="B42" s="17" t="n">
        <x:v>0.8</x:v>
      </x:c>
      <x:c r="C42" s="8" t="str">
        <x:v>fraction</x:v>
      </x:c>
      <x:c r="D42" s="8" t="str">
        <x:v>Analyst sensitivity; not measured or independently approved</x:v>
      </x:c>
    </x:row>
    <x:row r="43" ht="65" customHeight="1">
      <x:c r="A43" s="8" t="str">
        <x:v>petromoc_monthly_turns</x:v>
      </x:c>
      <x:c r="B43" s="16" t="n">
        <x:v>1</x:v>
      </x:c>
      <x:c r="C43" s="8" t="str">
        <x:v>turns/month</x:v>
      </x:c>
      <x:c r="D43" s="8" t="str">
        <x:v>Analyst sensitivity; not measured or independently approved</x:v>
      </x:c>
    </x:row>
    <x:row r="44" ht="65" customHeight="1">
      <x:c r="A44" s="8" t="str">
        <x:v>petromoc_sa_allocation</x:v>
      </x:c>
      <x:c r="B44" s="17" t="n">
        <x:v>0.1</x:v>
      </x:c>
      <x:c r="C44" s="8" t="str">
        <x:v>fraction</x:v>
      </x:c>
      <x:c r="D44" s="8" t="str">
        <x:v>Analyst sensitivity; not measured or independently approved</x:v>
      </x:c>
    </x:row>
    <x:row r="45" ht="65" customHeight="1">
      <x:c r="A45" s="8" t="str">
        <x:v>operating_days</x:v>
      </x:c>
      <x:c r="B45" s="16" t="n">
        <x:v>330</x:v>
      </x:c>
      <x:c r="C45" s="8" t="str">
        <x:v>days</x:v>
      </x:c>
      <x:c r="D45" s="8" t="str">
        <x:v>Analyst sensitivity; not measured or independently approved</x:v>
      </x:c>
    </x:row>
    <x:row r="46" ht="65" customHeight="1">
      <x:c r="A46" s="8" t="str">
        <x:v>sapref_bpd</x:v>
      </x:c>
      <x:c r="B46" s="16" t="n">
        <x:v>180000</x:v>
      </x:c>
      <x:c r="C46" s="8" t="str">
        <x:v>barrels/day</x:v>
      </x:c>
      <x:c r="D46" s="8" t="str">
        <x:v>Analyst sensitivity; not measured or independently approved</x:v>
      </x:c>
    </x:row>
    <x:row r="47" ht="65" customHeight="1">
      <x:c r="A47" s="8" t="str">
        <x:v>petrosa_bpd</x:v>
      </x:c>
      <x:c r="B47" s="16" t="n">
        <x:v>45000</x:v>
      </x:c>
      <x:c r="C47" s="8" t="str">
        <x:v>barrels/day</x:v>
      </x:c>
      <x:c r="D47" s="8" t="str">
        <x:v>Analyst sensitivity; not measured or independently approved</x:v>
      </x:c>
    </x:row>
    <x:row r="48" ht="65" customHeight="1">
      <x:c r="A48" s="8" t="str">
        <x:v>restart_pd_yield</x:v>
      </x:c>
      <x:c r="B48" s="17" t="n">
        <x:v>0.7</x:v>
      </x:c>
      <x:c r="C48" s="8" t="str">
        <x:v>fraction</x:v>
      </x:c>
      <x:c r="D48" s="8" t="str">
        <x:v>Analyst sensitivity; not measured or independently approved</x:v>
      </x:c>
    </x:row>
    <x:row r="49" ht="65" customHeight="1">
      <x:c r="A49" s="8" t="str">
        <x:v>unreported_construction_bn</x:v>
      </x:c>
      <x:c r="B49" s="16" t="n">
        <x:v>0</x:v>
      </x:c>
      <x:c r="C49" s="8" t="str">
        <x:v>bn litres</x:v>
      </x:c>
      <x:c r="D49" s="8" t="str">
        <x:v>Zero subtraction when no construction row is reported; does not establish zero construction use. Affects industry residual.</x:v>
      </x:c>
    </x:row>
    <x:row r="50" ht="65" customHeight="1">
      <x:c r="A50" s="8" t="str">
        <x:v>border_delay_low_days</x:v>
      </x:c>
      <x:c r="B50" s="16" t="n">
        <x:v>0</x:v>
      </x:c>
      <x:c r="C50" s="8" t="str">
        <x:v>days</x:v>
      </x:c>
      <x:c r="D50" s="8" t="str">
        <x:v>Analyst sensitivity; not measured or independently approved</x:v>
      </x:c>
    </x:row>
    <x:row r="51" ht="65" customHeight="1">
      <x:c r="A51" s="8" t="str">
        <x:v>border_delay_high_days</x:v>
      </x:c>
      <x:c r="B51" s="16" t="n">
        <x:v>3</x:v>
      </x:c>
      <x:c r="C51" s="8" t="str">
        <x:v>days</x:v>
      </x:c>
      <x:c r="D51" s="8" t="str">
        <x:v>Analyst sensitivity; not measured or independently approved</x:v>
      </x:c>
    </x:row>
    <x:row r="52" ht="65" customHeight="1">
      <x:c r="A52" s="8" t="str">
        <x:v>Low imports: activity_growth</x:v>
      </x:c>
      <x:c r="B52" s="16" t="n">
        <x:v>0.005</x:v>
      </x:c>
      <x:c r="C52" s="8" t="str">
        <x:v>Fraction / year / bn L as named</x:v>
      </x:c>
      <x:c r="D52" s="8" t="str">
        <x:v>Authored 2030 sensitivity, not a project forecast or probability; rail shift is eligible road-freight tonne-km share</x:v>
      </x:c>
    </x:row>
    <x:row r="53" ht="65" customHeight="1">
      <x:c r="A53" s="8" t="str">
        <x:v>Low imports: efficiency</x:v>
      </x:c>
      <x:c r="B53" s="16" t="n">
        <x:v>0.015</x:v>
      </x:c>
      <x:c r="C53" s="8" t="str">
        <x:v>Fraction / year / bn L as named</x:v>
      </x:c>
      <x:c r="D53" s="8" t="str">
        <x:v>Authored 2030 sensitivity, not a project forecast or probability; rail shift is eligible road-freight tonne-km share</x:v>
      </x:c>
    </x:row>
    <x:row r="54" ht="65" customHeight="1">
      <x:c r="A54" s="8" t="str">
        <x:v>Low imports: rail_shift</x:v>
      </x:c>
      <x:c r="B54" s="16" t="n">
        <x:v>0.15</x:v>
      </x:c>
      <x:c r="C54" s="8" t="str">
        <x:v>Fraction / year / bn L as named</x:v>
      </x:c>
      <x:c r="D54" s="8" t="str">
        <x:v>Authored 2030 sensitivity, not a project forecast or probability; rail shift is eligible road-freight tonne-km share</x:v>
      </x:c>
    </x:row>
    <x:row r="55" ht="65" customHeight="1">
      <x:c r="A55" s="8" t="str">
        <x:v>Low imports: rail_diesel_rebound</x:v>
      </x:c>
      <x:c r="B55" s="16" t="n">
        <x:v>0.1</x:v>
      </x:c>
      <x:c r="C55" s="8" t="str">
        <x:v>Fraction / year / bn L as named</x:v>
      </x:c>
      <x:c r="D55" s="8" t="str">
        <x:v>Authored 2030 sensitivity, not a project forecast or probability; rail shift is eligible road-freight tonne-km share</x:v>
      </x:c>
    </x:row>
    <x:row r="56" ht="65" customHeight="1">
      <x:c r="A56" s="8" t="str">
        <x:v>Low imports: power_retained</x:v>
      </x:c>
      <x:c r="B56" s="16" t="n">
        <x:v>0.35</x:v>
      </x:c>
      <x:c r="C56" s="8" t="str">
        <x:v>Fraction / year / bn L as named</x:v>
      </x:c>
      <x:c r="D56" s="8" t="str">
        <x:v>Authored 2030 sensitivity, not a project forecast or probability; rail shift is eligible road-freight tonne-km share</x:v>
      </x:c>
    </x:row>
    <x:row r="57" ht="65" customHeight="1">
      <x:c r="A57" s="8" t="str">
        <x:v>Low imports: supply_multiplier</x:v>
      </x:c>
      <x:c r="B57" s="16" t="n">
        <x:v>1.15</x:v>
      </x:c>
      <x:c r="C57" s="8" t="str">
        <x:v>Fraction / year / bn L as named</x:v>
      </x:c>
      <x:c r="D57" s="8" t="str">
        <x:v>Authored 2030 sensitivity, not a project forecast or probability; rail shift is eligible road-freight tonne-km share</x:v>
      </x:c>
    </x:row>
    <x:row r="58" ht="65" customHeight="1">
      <x:c r="A58" s="8" t="str">
        <x:v>Low imports: sapref_start</x:v>
      </x:c>
      <x:c r="B58" s="16" t="n">
        <x:v>2029</x:v>
      </x:c>
      <x:c r="C58" s="8" t="str">
        <x:v>Fraction / year / bn L as named</x:v>
      </x:c>
      <x:c r="D58" s="8" t="str">
        <x:v>Authored 2030 sensitivity, not a project forecast or probability; rail shift is eligible road-freight tonne-km share</x:v>
      </x:c>
    </x:row>
    <x:row r="59" ht="65" customHeight="1">
      <x:c r="A59" s="8" t="str">
        <x:v>Low imports: sapref_utilisation</x:v>
      </x:c>
      <x:c r="B59" s="16" t="n">
        <x:v>0.65</x:v>
      </x:c>
      <x:c r="C59" s="8" t="str">
        <x:v>Fraction / year / bn L as named</x:v>
      </x:c>
      <x:c r="D59" s="8" t="str">
        <x:v>Authored 2030 sensitivity, not a project forecast or probability; rail shift is eligible road-freight tonne-km share</x:v>
      </x:c>
    </x:row>
    <x:row r="60" ht="65" customHeight="1">
      <x:c r="A60" s="8" t="str">
        <x:v>Low imports: petrosa_start</x:v>
      </x:c>
      <x:c r="B60" s="16" t="n">
        <x:v>2029</x:v>
      </x:c>
      <x:c r="C60" s="8" t="str">
        <x:v>Fraction / year / bn L as named</x:v>
      </x:c>
      <x:c r="D60" s="8" t="str">
        <x:v>Authored 2030 sensitivity, not a project forecast or probability; rail shift is eligible road-freight tonne-km share</x:v>
      </x:c>
    </x:row>
    <x:row r="61" ht="65" customHeight="1">
      <x:c r="A61" s="8" t="str">
        <x:v>Low imports: petrosa_utilisation</x:v>
      </x:c>
      <x:c r="B61" s="16" t="n">
        <x:v>0.5</x:v>
      </x:c>
      <x:c r="C61" s="8" t="str">
        <x:v>Fraction / year / bn L as named</x:v>
      </x:c>
      <x:c r="D61" s="8" t="str">
        <x:v>Authored 2030 sensitivity, not a project forecast or probability; rail shift is eligible road-freight tonne-km share</x:v>
      </x:c>
    </x:row>
    <x:row r="62" ht="65" customHeight="1">
      <x:c r="A62" s="8" t="str">
        <x:v>Low imports: moz_diversion_bn</x:v>
      </x:c>
      <x:c r="B62" s="16" t="n">
        <x:v>0.6</x:v>
      </x:c>
      <x:c r="C62" s="8" t="str">
        <x:v>Fraction / year / bn L as named</x:v>
      </x:c>
      <x:c r="D62" s="8" t="str">
        <x:v>Authored 2030 sensitivity, not a project forecast or probability; rail shift is eligible road-freight tonne-km share</x:v>
      </x:c>
    </x:row>
    <x:row r="63" ht="65" customHeight="1">
      <x:c r="A63" s="8" t="str">
        <x:v>Base: activity_growth</x:v>
      </x:c>
      <x:c r="B63" s="16" t="n">
        <x:v>0.015</x:v>
      </x:c>
      <x:c r="C63" s="8" t="str">
        <x:v>Fraction / year / bn L as named</x:v>
      </x:c>
      <x:c r="D63" s="8" t="str">
        <x:v>Authored 2030 sensitivity, not a project forecast or probability; rail shift is eligible road-freight tonne-km share</x:v>
      </x:c>
    </x:row>
    <x:row r="64" ht="65" customHeight="1">
      <x:c r="A64" s="8" t="str">
        <x:v>Base: efficiency</x:v>
      </x:c>
      <x:c r="B64" s="16" t="n">
        <x:v>0.01</x:v>
      </x:c>
      <x:c r="C64" s="8" t="str">
        <x:v>Fraction / year / bn L as named</x:v>
      </x:c>
      <x:c r="D64" s="8" t="str">
        <x:v>Authored 2030 sensitivity, not a project forecast or probability; rail shift is eligible road-freight tonne-km share</x:v>
      </x:c>
    </x:row>
    <x:row r="65" ht="65" customHeight="1">
      <x:c r="A65" s="8" t="str">
        <x:v>Base: rail_shift</x:v>
      </x:c>
      <x:c r="B65" s="16" t="n">
        <x:v>0.075</x:v>
      </x:c>
      <x:c r="C65" s="8" t="str">
        <x:v>Fraction / year / bn L as named</x:v>
      </x:c>
      <x:c r="D65" s="8" t="str">
        <x:v>Authored 2030 sensitivity, not a project forecast or probability; rail shift is eligible road-freight tonne-km share</x:v>
      </x:c>
    </x:row>
    <x:row r="66" ht="65" customHeight="1">
      <x:c r="A66" s="8" t="str">
        <x:v>Base: rail_diesel_rebound</x:v>
      </x:c>
      <x:c r="B66" s="16" t="n">
        <x:v>0.1</x:v>
      </x:c>
      <x:c r="C66" s="8" t="str">
        <x:v>Fraction / year / bn L as named</x:v>
      </x:c>
      <x:c r="D66" s="8" t="str">
        <x:v>Authored 2030 sensitivity, not a project forecast or probability; rail shift is eligible road-freight tonne-km share</x:v>
      </x:c>
    </x:row>
    <x:row r="67" ht="65" customHeight="1">
      <x:c r="A67" s="8" t="str">
        <x:v>Base: power_retained</x:v>
      </x:c>
      <x:c r="B67" s="16" t="n">
        <x:v>0.5</x:v>
      </x:c>
      <x:c r="C67" s="8" t="str">
        <x:v>Fraction / year / bn L as named</x:v>
      </x:c>
      <x:c r="D67" s="8" t="str">
        <x:v>Authored 2030 sensitivity, not a project forecast or probability; rail shift is eligible road-freight tonne-km share</x:v>
      </x:c>
    </x:row>
    <x:row r="68" ht="65" customHeight="1">
      <x:c r="A68" s="8" t="str">
        <x:v>Base: supply_multiplier</x:v>
      </x:c>
      <x:c r="B68" s="16" t="n">
        <x:v>1</x:v>
      </x:c>
      <x:c r="C68" s="8" t="str">
        <x:v>Fraction / year / bn L as named</x:v>
      </x:c>
      <x:c r="D68" s="8" t="str">
        <x:v>Authored 2030 sensitivity, not a project forecast or probability; rail shift is eligible road-freight tonne-km share</x:v>
      </x:c>
    </x:row>
    <x:row r="69" ht="65" customHeight="1">
      <x:c r="A69" s="8" t="str">
        <x:v>Base: sapref_start</x:v>
      </x:c>
      <x:c r="B69" s="16" t="n">
        <x:v>2099</x:v>
      </x:c>
      <x:c r="C69" s="8" t="str">
        <x:v>Fraction / year / bn L as named</x:v>
      </x:c>
      <x:c r="D69" s="8" t="str">
        <x:v>Authored 2030 sensitivity, not a project forecast or probability; rail shift is eligible road-freight tonne-km share</x:v>
      </x:c>
    </x:row>
    <x:row r="70" ht="65" customHeight="1">
      <x:c r="A70" s="8" t="str">
        <x:v>Base: sapref_utilisation</x:v>
      </x:c>
      <x:c r="B70" s="16" t="n">
        <x:v>0</x:v>
      </x:c>
      <x:c r="C70" s="8" t="str">
        <x:v>Fraction / year / bn L as named</x:v>
      </x:c>
      <x:c r="D70" s="8" t="str">
        <x:v>Authored 2030 sensitivity, not a project forecast or probability; rail shift is eligible road-freight tonne-km share</x:v>
      </x:c>
    </x:row>
    <x:row r="71" ht="65" customHeight="1">
      <x:c r="A71" s="8" t="str">
        <x:v>Base: petrosa_start</x:v>
      </x:c>
      <x:c r="B71" s="16" t="n">
        <x:v>2099</x:v>
      </x:c>
      <x:c r="C71" s="8" t="str">
        <x:v>Fraction / year / bn L as named</x:v>
      </x:c>
      <x:c r="D71" s="8" t="str">
        <x:v>Authored 2030 sensitivity, not a project forecast or probability; rail shift is eligible road-freight tonne-km share</x:v>
      </x:c>
    </x:row>
    <x:row r="72" ht="65" customHeight="1">
      <x:c r="A72" s="8" t="str">
        <x:v>Base: petrosa_utilisation</x:v>
      </x:c>
      <x:c r="B72" s="16" t="n">
        <x:v>0</x:v>
      </x:c>
      <x:c r="C72" s="8" t="str">
        <x:v>Fraction / year / bn L as named</x:v>
      </x:c>
      <x:c r="D72" s="8" t="str">
        <x:v>Authored 2030 sensitivity, not a project forecast or probability; rail shift is eligible road-freight tonne-km share</x:v>
      </x:c>
    </x:row>
    <x:row r="73" ht="65" customHeight="1">
      <x:c r="A73" s="8" t="str">
        <x:v>Base: moz_diversion_bn</x:v>
      </x:c>
      <x:c r="B73" s="16" t="n">
        <x:v>0.2</x:v>
      </x:c>
      <x:c r="C73" s="8" t="str">
        <x:v>Fraction / year / bn L as named</x:v>
      </x:c>
      <x:c r="D73" s="8" t="str">
        <x:v>Authored 2030 sensitivity, not a project forecast or probability; rail shift is eligible road-freight tonne-km share</x:v>
      </x:c>
    </x:row>
    <x:row r="74" ht="65" customHeight="1">
      <x:c r="A74" s="8" t="str">
        <x:v>High imports: activity_growth</x:v>
      </x:c>
      <x:c r="B74" s="16" t="n">
        <x:v>0.025</x:v>
      </x:c>
      <x:c r="C74" s="8" t="str">
        <x:v>Fraction / year / bn L as named</x:v>
      </x:c>
      <x:c r="D74" s="8" t="str">
        <x:v>Authored 2030 sensitivity, not a project forecast or probability; rail shift is eligible road-freight tonne-km share</x:v>
      </x:c>
    </x:row>
    <x:row r="75" ht="65" customHeight="1">
      <x:c r="A75" s="8" t="str">
        <x:v>High imports: efficiency</x:v>
      </x:c>
      <x:c r="B75" s="16" t="n">
        <x:v>0.005</x:v>
      </x:c>
      <x:c r="C75" s="8" t="str">
        <x:v>Fraction / year / bn L as named</x:v>
      </x:c>
      <x:c r="D75" s="8" t="str">
        <x:v>Authored 2030 sensitivity, not a project forecast or probability; rail shift is eligible road-freight tonne-km share</x:v>
      </x:c>
    </x:row>
    <x:row r="76" ht="65" customHeight="1">
      <x:c r="A76" s="8" t="str">
        <x:v>High imports: rail_shift</x:v>
      </x:c>
      <x:c r="B76" s="16" t="n">
        <x:v>0.025</x:v>
      </x:c>
      <x:c r="C76" s="8" t="str">
        <x:v>Fraction / year / bn L as named</x:v>
      </x:c>
      <x:c r="D76" s="8" t="str">
        <x:v>Authored 2030 sensitivity, not a project forecast or probability; rail shift is eligible road-freight tonne-km share</x:v>
      </x:c>
    </x:row>
    <x:row r="77" ht="65" customHeight="1">
      <x:c r="A77" s="8" t="str">
        <x:v>High imports: rail_diesel_rebound</x:v>
      </x:c>
      <x:c r="B77" s="16" t="n">
        <x:v>0.1</x:v>
      </x:c>
      <x:c r="C77" s="8" t="str">
        <x:v>Fraction / year / bn L as named</x:v>
      </x:c>
      <x:c r="D77" s="8" t="str">
        <x:v>Authored 2030 sensitivity, not a project forecast or probability; rail shift is eligible road-freight tonne-km share</x:v>
      </x:c>
    </x:row>
    <x:row r="78" ht="65" customHeight="1">
      <x:c r="A78" s="8" t="str">
        <x:v>High imports: power_retained</x:v>
      </x:c>
      <x:c r="B78" s="16" t="n">
        <x:v>1</x:v>
      </x:c>
      <x:c r="C78" s="8" t="str">
        <x:v>Fraction / year / bn L as named</x:v>
      </x:c>
      <x:c r="D78" s="8" t="str">
        <x:v>Authored 2030 sensitivity, not a project forecast or probability; rail shift is eligible road-freight tonne-km share</x:v>
      </x:c>
    </x:row>
    <x:row r="79" ht="65" customHeight="1">
      <x:c r="A79" s="8" t="str">
        <x:v>High imports: supply_multiplier</x:v>
      </x:c>
      <x:c r="B79" s="16" t="n">
        <x:v>0.85</x:v>
      </x:c>
      <x:c r="C79" s="8" t="str">
        <x:v>Fraction / year / bn L as named</x:v>
      </x:c>
      <x:c r="D79" s="8" t="str">
        <x:v>Authored 2030 sensitivity, not a project forecast or probability; rail shift is eligible road-freight tonne-km share</x:v>
      </x:c>
    </x:row>
    <x:row r="80" ht="65" customHeight="1">
      <x:c r="A80" s="8" t="str">
        <x:v>High imports: sapref_start</x:v>
      </x:c>
      <x:c r="B80" s="16" t="n">
        <x:v>2099</x:v>
      </x:c>
      <x:c r="C80" s="8" t="str">
        <x:v>Fraction / year / bn L as named</x:v>
      </x:c>
      <x:c r="D80" s="8" t="str">
        <x:v>Authored 2030 sensitivity, not a project forecast or probability; rail shift is eligible road-freight tonne-km share</x:v>
      </x:c>
    </x:row>
    <x:row r="81" ht="65" customHeight="1">
      <x:c r="A81" s="8" t="str">
        <x:v>High imports: sapref_utilisation</x:v>
      </x:c>
      <x:c r="B81" s="16" t="n">
        <x:v>0</x:v>
      </x:c>
      <x:c r="C81" s="8" t="str">
        <x:v>Fraction / year / bn L as named</x:v>
      </x:c>
      <x:c r="D81" s="8" t="str">
        <x:v>Authored 2030 sensitivity, not a project forecast or probability; rail shift is eligible road-freight tonne-km share</x:v>
      </x:c>
    </x:row>
    <x:row r="82" ht="65" customHeight="1">
      <x:c r="A82" s="8" t="str">
        <x:v>High imports: petrosa_start</x:v>
      </x:c>
      <x:c r="B82" s="16" t="n">
        <x:v>2099</x:v>
      </x:c>
      <x:c r="C82" s="8" t="str">
        <x:v>Fraction / year / bn L as named</x:v>
      </x:c>
      <x:c r="D82" s="8" t="str">
        <x:v>Authored 2030 sensitivity, not a project forecast or probability; rail shift is eligible road-freight tonne-km share</x:v>
      </x:c>
    </x:row>
    <x:row r="83" ht="65" customHeight="1">
      <x:c r="A83" s="8" t="str">
        <x:v>High imports: petrosa_utilisation</x:v>
      </x:c>
      <x:c r="B83" s="16" t="n">
        <x:v>0</x:v>
      </x:c>
      <x:c r="C83" s="8" t="str">
        <x:v>Fraction / year / bn L as named</x:v>
      </x:c>
      <x:c r="D83" s="8" t="str">
        <x:v>Authored 2030 sensitivity, not a project forecast or probability; rail shift is eligible road-freight tonne-km share</x:v>
      </x:c>
    </x:row>
    <x:row r="84" ht="65" customHeight="1">
      <x:c r="A84" s="8" t="str">
        <x:v>High imports: moz_diversion_bn</x:v>
      </x:c>
      <x:c r="B84" s="16" t="n">
        <x:v>0.05</x:v>
      </x:c>
      <x:c r="C84" s="8" t="str">
        <x:v>Fraction / year / bn L as named</x:v>
      </x:c>
      <x:c r="D84" s="8" t="str">
        <x:v>Authored 2030 sensitivity, not a project forecast or probability; rail shift is eligible road-freight tonne-km share</x:v>
      </x:c>
    </x:row>
    <x:row r="85" ht="65" customHeight="1">
      <x:c r="A85" s="8" t="str">
        <x:v>Calculated power 2023</x:v>
      </x:c>
      <x:c r="B85" s="7" t="n">
        <x:f>'Evidence'!B74*'Assumptions'!B12+'Evidence'!B77*'Assumptions'!B11/1000+'Assumptions'!B13</x:f>
        <x:v>2.0778800000000004</x:v>
      </x:c>
      <x:c r="C85" s="8" t="str">
        <x:v>bn L</x:v>
      </x:c>
      <x:c r="D85" s="8" t="str">
        <x:v>Eskom fuel FY proxy x diesel fraction + IPP GWh x 0.31 L/kWh + assumed private backup</x:v>
      </x:c>
    </x:row>
    <x:row r="86" ht="65" customHeight="1">
      <x:c r="A86" s="8" t="str">
        <x:v>Calculated power 2024</x:v>
      </x:c>
      <x:c r="B86" s="7" t="n">
        <x:f>'Evidence'!B75*'Assumptions'!B12+'Evidence'!B78*'Assumptions'!B11/1000+'Assumptions'!B14</x:f>
        <x:v>2.19729</x:v>
      </x:c>
      <x:c r="C86" s="8" t="str">
        <x:v>bn L</x:v>
      </x:c>
      <x:c r="D86" s="8" t="str">
        <x:v>Eskom fuel FY proxy x diesel fraction + IPP GWh x 0.31 L/kWh + assumed private backup</x:v>
      </x:c>
    </x:row>
    <x:row r="87" ht="65" customHeight="1">
      <x:c r="A87" s="8" t="str">
        <x:v>Calculated power 2025</x:v>
      </x:c>
      <x:c r="B87" s="7" t="n">
        <x:f>'Evidence'!B76*'Assumptions'!B12+'Evidence'!B79*'Assumptions'!B11/1000+'Assumptions'!B15</x:f>
        <x:v>1.08432</x:v>
      </x:c>
      <x:c r="C87" s="8" t="str">
        <x:v>bn L</x:v>
      </x:c>
      <x:c r="D87" s="8" t="str">
        <x:v>Eskom fuel FY proxy x diesel fraction + IPP GWh x 0.31 L/kWh + assumed private backup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2" hidden="0" customWidth="1"/>
    <x:col min="3" max="3" width="28" hidden="0" customWidth="1"/>
    <x:col min="4" max="4" width="75" hidden="0" customWidth="1"/>
  </x:cols>
  <x:sheetData>
    <x:row r="1" ht="27" customHeight="1">
      <x:c r="A1" s="3" t="str">
        <x:v>Frozen source observations</x:v>
      </x:c>
      <x:c r="B1" s="2"/>
      <x:c r="C1" s="2"/>
      <x:c r="D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</x:row>
    <x:row r="3" ht="42" customHeight="1">
      <x:c r="A3" s="2"/>
      <x:c r="B3" s="2"/>
      <x:c r="C3" s="2"/>
      <x:c r="D3" s="2"/>
    </x:row>
    <x:row r="4" ht="40" customHeight="1">
      <x:c r="A4" s="6" t="str">
        <x:v>Input</x:v>
      </x:c>
      <x:c r="B4" s="6" t="str">
        <x:v>Value</x:v>
      </x:c>
      <x:c r="C4" s="6" t="str">
        <x:v>Unit</x:v>
      </x:c>
      <x:c r="D4" s="6" t="str">
        <x:v>Source / period</x:v>
      </x:c>
    </x:row>
    <x:row r="5" ht="65" customHeight="1">
      <x:c r="A5" s="8" t="str">
        <x:v>sales_diesel_2013</x:v>
      </x:c>
      <x:c r="B5" s="7" t="n">
        <x:v>12.141281548</x:v>
      </x:c>
      <x:c r="C5" s="8" t="str">
        <x:v>bn L</x:v>
      </x:c>
      <x:c r="D5" s="8" t="str">
        <x:v>Department national fuel sales; 2013-Annual-FSV-at-National-Level-07-February-2014.xlsx; Reported input</x:v>
      </x:c>
    </x:row>
    <x:row r="6" ht="65" customHeight="1">
      <x:c r="A6" s="8" t="str">
        <x:v>sales_petrol_2013</x:v>
      </x:c>
      <x:c r="B6" s="7" t="n">
        <x:v>11.439925235</x:v>
      </x:c>
      <x:c r="C6" s="8" t="str">
        <x:v>bn L</x:v>
      </x:c>
      <x:c r="D6" s="8" t="str">
        <x:v>Department national fuel sales; 2013-Annual-FSV-at-National-Level-07-February-2014.xlsx; Reported input</x:v>
      </x:c>
    </x:row>
    <x:row r="7" ht="65" customHeight="1">
      <x:c r="A7" s="8" t="str">
        <x:v>sales_diesel_2014</x:v>
      </x:c>
      <x:c r="B7" s="7" t="n">
        <x:v>12.615023359</x:v>
      </x:c>
      <x:c r="C7" s="8" t="str">
        <x:v>bn L</x:v>
      </x:c>
      <x:c r="D7" s="8" t="str">
        <x:v>Department national fuel sales; 2014-Annual-FSV-at-National-Level-Quarter-3-16Jan2015.xlsx; Reported input</x:v>
      </x:c>
    </x:row>
    <x:row r="8" ht="65" customHeight="1">
      <x:c r="A8" s="8" t="str">
        <x:v>sales_petrol_2014</x:v>
      </x:c>
      <x:c r="B8" s="7" t="n">
        <x:v>10.890207679</x:v>
      </x:c>
      <x:c r="C8" s="8" t="str">
        <x:v>bn L</x:v>
      </x:c>
      <x:c r="D8" s="8" t="str">
        <x:v>Department national fuel sales; 2014-Annual-FSV-at-National-Level-Quarter-3-16Jan2015.xlsx; Reported input</x:v>
      </x:c>
    </x:row>
    <x:row r="9" ht="65" customHeight="1">
      <x:c r="A9" s="8" t="str">
        <x:v>sales_diesel_2015</x:v>
      </x:c>
      <x:c r="B9" s="7" t="n">
        <x:v>13.52013925195</x:v>
      </x:c>
      <x:c r="C9" s="8" t="str">
        <x:v>bn L</x:v>
      </x:c>
      <x:c r="D9" s="8" t="str">
        <x:v>Department national fuel sales; 2015-Annual-FSV-at-National-Level.xlsx; Reported input</x:v>
      </x:c>
    </x:row>
    <x:row r="10" ht="65" customHeight="1">
      <x:c r="A10" s="8" t="str">
        <x:v>sales_petrol_2015</x:v>
      </x:c>
      <x:c r="B10" s="7" t="n">
        <x:v>11.475709420318001</x:v>
      </x:c>
      <x:c r="C10" s="8" t="str">
        <x:v>bn L</x:v>
      </x:c>
      <x:c r="D10" s="8" t="str">
        <x:v>Department national fuel sales; 2015-Annual-FSV-at-National-Level.xlsx; Reported input</x:v>
      </x:c>
    </x:row>
    <x:row r="11" ht="65" customHeight="1">
      <x:c r="A11" s="8" t="str">
        <x:v>sales_diesel_2016</x:v>
      </x:c>
      <x:c r="B11" s="7" t="n">
        <x:v>12.082374038422001</x:v>
      </x:c>
      <x:c r="C11" s="8" t="str">
        <x:v>bn L</x:v>
      </x:c>
      <x:c r="D11" s="8" t="str">
        <x:v>Department national fuel sales; 2016-National-Aggregated-Fuel-Sales-Volumes-data.xlsx; Reported input</x:v>
      </x:c>
    </x:row>
    <x:row r="12" ht="65" customHeight="1">
      <x:c r="A12" s="8" t="str">
        <x:v>sales_petrol_2016</x:v>
      </x:c>
      <x:c r="B12" s="7" t="n">
        <x:v>11.462252466686001</x:v>
      </x:c>
      <x:c r="C12" s="8" t="str">
        <x:v>bn L</x:v>
      </x:c>
      <x:c r="D12" s="8" t="str">
        <x:v>Department national fuel sales; 2016-National-Aggregated-Fuel-Sales-Volumes-data.xlsx; Reported input</x:v>
      </x:c>
    </x:row>
    <x:row r="13" ht="65" customHeight="1">
      <x:c r="A13" s="8" t="str">
        <x:v>sales_diesel_2017</x:v>
      </x:c>
      <x:c r="B13" s="7" t="n">
        <x:v>12.147245167188997</x:v>
      </x:c>
      <x:c r="C13" s="8" t="str">
        <x:v>bn L</x:v>
      </x:c>
      <x:c r="D13" s="8" t="str">
        <x:v>Department national fuel sales; 2017-Quarter3-FSV-Annual-data.xls; Reported input</x:v>
      </x:c>
    </x:row>
    <x:row r="14" ht="65" customHeight="1">
      <x:c r="A14" s="8" t="str">
        <x:v>sales_petrol_2017</x:v>
      </x:c>
      <x:c r="B14" s="7" t="n">
        <x:v>11.174082980369999</x:v>
      </x:c>
      <x:c r="C14" s="8" t="str">
        <x:v>bn L</x:v>
      </x:c>
      <x:c r="D14" s="8" t="str">
        <x:v>Department national fuel sales; 2017-Quarter3-FSV-Annual-data.xls; Reported input</x:v>
      </x:c>
    </x:row>
    <x:row r="15" ht="65" customHeight="1">
      <x:c r="A15" s="8" t="str">
        <x:v>sales_diesel_2018</x:v>
      </x:c>
      <x:c r="B15" s="7" t="n">
        <x:v>12.538744325998</x:v>
      </x:c>
      <x:c r="C15" s="8" t="str">
        <x:v>bn L</x:v>
      </x:c>
      <x:c r="D15" s="8" t="str">
        <x:v>Department national fuel sales; 2018-National-Aggregated-FSV.xls; Reported input</x:v>
      </x:c>
    </x:row>
    <x:row r="16" ht="65" customHeight="1">
      <x:c r="A16" s="8" t="str">
        <x:v>sales_petrol_2018</x:v>
      </x:c>
      <x:c r="B16" s="7" t="n">
        <x:v>11.141630546702</x:v>
      </x:c>
      <x:c r="C16" s="8" t="str">
        <x:v>bn L</x:v>
      </x:c>
      <x:c r="D16" s="8" t="str">
        <x:v>Department national fuel sales; 2018-National-Aggregated-FSV.xls; Reported input</x:v>
      </x:c>
    </x:row>
    <x:row r="17" ht="65" customHeight="1">
      <x:c r="A17" s="8" t="str">
        <x:v>sales_diesel_2019</x:v>
      </x:c>
      <x:c r="B17" s="7" t="n">
        <x:v>12.908631232217</x:v>
      </x:c>
      <x:c r="C17" s="8" t="str">
        <x:v>bn L</x:v>
      </x:c>
      <x:c r="D17" s="8" t="str">
        <x:v>Department national fuel sales; 2019-National-Aggregated-FSV.xls; Reported input</x:v>
      </x:c>
    </x:row>
    <x:row r="18" ht="65" customHeight="1">
      <x:c r="A18" s="8" t="str">
        <x:v>sales_petrol_2019</x:v>
      </x:c>
      <x:c r="B18" s="7" t="n">
        <x:v>10.773208065062</x:v>
      </x:c>
      <x:c r="C18" s="8" t="str">
        <x:v>bn L</x:v>
      </x:c>
      <x:c r="D18" s="8" t="str">
        <x:v>Department national fuel sales; 2019-National-Aggregated-FSV.xls; Reported input</x:v>
      </x:c>
    </x:row>
    <x:row r="19" ht="65" customHeight="1">
      <x:c r="A19" s="8" t="str">
        <x:v>sales_diesel_2020</x:v>
      </x:c>
      <x:c r="B19" s="7" t="n">
        <x:v>11.689957759296</x:v>
      </x:c>
      <x:c r="C19" s="8" t="str">
        <x:v>bn L</x:v>
      </x:c>
      <x:c r="D19" s="8" t="str">
        <x:v>Department national fuel sales; 2020-National-Aggregated-FSV-data-Quarter4.xls; Reported input</x:v>
      </x:c>
    </x:row>
    <x:row r="20" ht="65" customHeight="1">
      <x:c r="A20" s="8" t="str">
        <x:v>sales_petrol_2020</x:v>
      </x:c>
      <x:c r="B20" s="7" t="n">
        <x:v>8.761470961496</x:v>
      </x:c>
      <x:c r="C20" s="8" t="str">
        <x:v>bn L</x:v>
      </x:c>
      <x:c r="D20" s="8" t="str">
        <x:v>Department national fuel sales; 2020-National-Aggregated-FSV-data-Quarter4.xls; Reported input</x:v>
      </x:c>
    </x:row>
    <x:row r="21" ht="65" customHeight="1">
      <x:c r="A21" s="8" t="str">
        <x:v>sales_diesel_2021</x:v>
      </x:c>
      <x:c r="B21" s="7" t="n">
        <x:v>12.945782750434999</x:v>
      </x:c>
      <x:c r="C21" s="8" t="str">
        <x:v>bn L</x:v>
      </x:c>
      <x:c r="D21" s="8" t="str">
        <x:v>Department national fuel sales; 2021-National-Aggregated-FSV-data-Quarter4.xls; Reported input</x:v>
      </x:c>
    </x:row>
    <x:row r="22" ht="65" customHeight="1">
      <x:c r="A22" s="8" t="str">
        <x:v>sales_petrol_2021</x:v>
      </x:c>
      <x:c r="B22" s="7" t="n">
        <x:v>9.301584227683001</x:v>
      </x:c>
      <x:c r="C22" s="8" t="str">
        <x:v>bn L</x:v>
      </x:c>
      <x:c r="D22" s="8" t="str">
        <x:v>Department national fuel sales; 2021-National-Aggregated-FSV-data-Quarter4.xls; Reported input</x:v>
      </x:c>
    </x:row>
    <x:row r="23" ht="65" customHeight="1">
      <x:c r="A23" s="8" t="str">
        <x:v>sales_diesel_2022</x:v>
      </x:c>
      <x:c r="B23" s="7" t="n">
        <x:v>12.717326319019001</x:v>
      </x:c>
      <x:c r="C23" s="8" t="str">
        <x:v>bn L</x:v>
      </x:c>
      <x:c r="D23" s="8" t="str">
        <x:v>Department national fuel sales; 2022-National-Aggregated-FSV-data-Quarter4.xls; Reported input</x:v>
      </x:c>
    </x:row>
    <x:row r="24" ht="65" customHeight="1">
      <x:c r="A24" s="8" t="str">
        <x:v>sales_petrol_2022</x:v>
      </x:c>
      <x:c r="B24" s="7" t="n">
        <x:v>9.184869915573</x:v>
      </x:c>
      <x:c r="C24" s="8" t="str">
        <x:v>bn L</x:v>
      </x:c>
      <x:c r="D24" s="8" t="str">
        <x:v>Department national fuel sales; 2022-National-Aggregated-FSV-data-Quarter4.xls; Reported input</x:v>
      </x:c>
    </x:row>
    <x:row r="25" ht="65" customHeight="1">
      <x:c r="A25" s="8" t="str">
        <x:v>sales_diesel_2023</x:v>
      </x:c>
      <x:c r="B25" s="7" t="n">
        <x:v>12.907499965808</x:v>
      </x:c>
      <x:c r="C25" s="8" t="str">
        <x:v>bn L</x:v>
      </x:c>
      <x:c r="D25" s="8" t="str">
        <x:v>Department national fuel sales; 2023-National-Aggregated-FSV-data-Quarter4.xls; Reported input</x:v>
      </x:c>
    </x:row>
    <x:row r="26" ht="65" customHeight="1">
      <x:c r="A26" s="8" t="str">
        <x:v>sales_petrol_2023</x:v>
      </x:c>
      <x:c r="B26" s="7" t="n">
        <x:v>9.036950113492</x:v>
      </x:c>
      <x:c r="C26" s="8" t="str">
        <x:v>bn L</x:v>
      </x:c>
      <x:c r="D26" s="8" t="str">
        <x:v>Department national fuel sales; 2023-National-Aggregated-FSV-data-Quarter4.xls; Reported input</x:v>
      </x:c>
    </x:row>
    <x:row r="27" ht="65" customHeight="1">
      <x:c r="A27" s="8" t="str">
        <x:v>fiasa_diesel_2024</x:v>
      </x:c>
      <x:c r="B27" s="7" t="n">
        <x:v>11.734</x:v>
      </x:c>
      <x:c r="C27" s="8" t="str">
        <x:v>bn L</x:v>
      </x:c>
      <x:c r="D27" s="8" t="str">
        <x:v>FIASA Annual Report 2025; definition reconciliation pending; Alternative source anchor</x:v>
      </x:c>
    </x:row>
    <x:row r="28" ht="65" customHeight="1">
      <x:c r="A28" s="8" t="str">
        <x:v>fiasa_petrol_2024</x:v>
      </x:c>
      <x:c r="B28" s="7" t="n">
        <x:v>9.029</x:v>
      </x:c>
      <x:c r="C28" s="8" t="str">
        <x:v>bn L</x:v>
      </x:c>
      <x:c r="D28" s="8" t="str">
        <x:v>FIASA Annual Report 2025; definition reconciliation pending; Alternative source anchor</x:v>
      </x:c>
    </x:row>
    <x:row r="29" ht="65" customHeight="1">
      <x:c r="A29" s="8" t="str">
        <x:v>eb_industry_2018</x:v>
      </x:c>
      <x:c r="B29" s="7" t="n">
        <x:v>1.884421682861328</x:v>
      </x:c>
      <x:c r="C29" s="8" t="str">
        <x:v>bn L</x:v>
      </x:c>
      <x:c r="D29" s="8" t="str">
        <x:v>Department energy balance 2018; industry; Reported input</x:v>
      </x:c>
    </x:row>
    <x:row r="30" ht="65" customHeight="1">
      <x:c r="A30" s="8" t="str">
        <x:v>eb_mining_2018</x:v>
      </x:c>
      <x:c r="B30" s="7" t="n">
        <x:v>1.650123</x:v>
      </x:c>
      <x:c r="C30" s="8" t="str">
        <x:v>bn L</x:v>
      </x:c>
      <x:c r="D30" s="8" t="str">
        <x:v>Department energy balance 2018; mining; Reported input</x:v>
      </x:c>
    </x:row>
    <x:row r="31" ht="65" customHeight="1">
      <x:c r="A31" s="8" t="str">
        <x:v>eb_construction_2018</x:v>
      </x:c>
      <x:c r="B31" s="7" t="n">
        <x:v>0.074592859375</x:v>
      </x:c>
      <x:c r="C31" s="8" t="str">
        <x:v>bn L</x:v>
      </x:c>
      <x:c r="D31" s="8" t="str">
        <x:v>Department energy balance 2018; construction; Reported input</x:v>
      </x:c>
    </x:row>
    <x:row r="32" ht="65" customHeight="1">
      <x:c r="A32" s="8" t="str">
        <x:v>eb_road_2018</x:v>
      </x:c>
      <x:c r="B32" s="7" t="n">
        <x:v>6.3919425</x:v>
      </x:c>
      <x:c r="C32" s="8" t="str">
        <x:v>bn L</x:v>
      </x:c>
      <x:c r="D32" s="8" t="str">
        <x:v>Department energy balance 2018; road; Reported input</x:v>
      </x:c>
    </x:row>
    <x:row r="33" ht="65" customHeight="1">
      <x:c r="A33" s="8" t="str">
        <x:v>eb_agriculture_2018</x:v>
      </x:c>
      <x:c r="B33" s="7" t="n">
        <x:v>0.8998834375</x:v>
      </x:c>
      <x:c r="C33" s="8" t="str">
        <x:v>bn L</x:v>
      </x:c>
      <x:c r="D33" s="8" t="str">
        <x:v>Department energy balance 2018; agriculture; Reported input</x:v>
      </x:c>
    </x:row>
    <x:row r="34" ht="65" customHeight="1">
      <x:c r="A34" s="8" t="str">
        <x:v>eb_industry_2019</x:v>
      </x:c>
      <x:c r="B34" s="7" t="n">
        <x:v>1.8979908483886718</x:v>
      </x:c>
      <x:c r="C34" s="8" t="str">
        <x:v>bn L</x:v>
      </x:c>
      <x:c r="D34" s="8" t="str">
        <x:v>Department energy balance 2019; industry; Reported input</x:v>
      </x:c>
    </x:row>
    <x:row r="35" ht="65" customHeight="1">
      <x:c r="A35" s="8" t="str">
        <x:v>eb_mining_2019</x:v>
      </x:c>
      <x:c r="B35" s="7" t="n">
        <x:v>1.66724925</x:v>
      </x:c>
      <x:c r="C35" s="8" t="str">
        <x:v>bn L</x:v>
      </x:c>
      <x:c r="D35" s="8" t="str">
        <x:v>Department energy balance 2019; mining; Reported input</x:v>
      </x:c>
    </x:row>
    <x:row r="36" ht="65" customHeight="1">
      <x:c r="A36" s="8" t="str">
        <x:v>eb_road_2019</x:v>
      </x:c>
      <x:c r="B36" s="7" t="n">
        <x:v>6.725982</x:v>
      </x:c>
      <x:c r="C36" s="8" t="str">
        <x:v>bn L</x:v>
      </x:c>
      <x:c r="D36" s="8" t="str">
        <x:v>Department energy balance 2019; road; Reported input</x:v>
      </x:c>
    </x:row>
    <x:row r="37" ht="65" customHeight="1">
      <x:c r="A37" s="8" t="str">
        <x:v>eb_agriculture_2019</x:v>
      </x:c>
      <x:c r="B37" s="7" t="n">
        <x:v>0.9218486875</x:v>
      </x:c>
      <x:c r="C37" s="8" t="str">
        <x:v>bn L</x:v>
      </x:c>
      <x:c r="D37" s="8" t="str">
        <x:v>Department energy balance 2019; agriculture; Reported input</x:v>
      </x:c>
    </x:row>
    <x:row r="38" ht="65" customHeight="1">
      <x:c r="A38" s="8" t="str">
        <x:v>eb_industry_2020</x:v>
      </x:c>
      <x:c r="B38" s="7" t="n">
        <x:v>1.4462206990966797</x:v>
      </x:c>
      <x:c r="C38" s="8" t="str">
        <x:v>bn L</x:v>
      </x:c>
      <x:c r="D38" s="8" t="str">
        <x:v>Department energy balance 2020; industry; Reported input</x:v>
      </x:c>
    </x:row>
    <x:row r="39" ht="65" customHeight="1">
      <x:c r="A39" s="8" t="str">
        <x:v>eb_mining_2020</x:v>
      </x:c>
      <x:c r="B39" s="7" t="n">
        <x:v>1.26340575</x:v>
      </x:c>
      <x:c r="C39" s="8" t="str">
        <x:v>bn L</x:v>
      </x:c>
      <x:c r="D39" s="8" t="str">
        <x:v>Department energy balance 2020; mining; Reported input</x:v>
      </x:c>
    </x:row>
    <x:row r="40" ht="65" customHeight="1">
      <x:c r="A40" s="8" t="str">
        <x:v>eb_construction_2020</x:v>
      </x:c>
      <x:c r="B40" s="7" t="n">
        <x:v>0.04284740625</x:v>
      </x:c>
      <x:c r="C40" s="8" t="str">
        <x:v>bn L</x:v>
      </x:c>
      <x:c r="D40" s="8" t="str">
        <x:v>Department energy balance 2020; construction; Reported input</x:v>
      </x:c>
    </x:row>
    <x:row r="41" ht="65" customHeight="1">
      <x:c r="A41" s="8" t="str">
        <x:v>eb_road_2020</x:v>
      </x:c>
      <x:c r="B41" s="7" t="n">
        <x:v>5.8481915</x:v>
      </x:c>
      <x:c r="C41" s="8" t="str">
        <x:v>bn L</x:v>
      </x:c>
      <x:c r="D41" s="8" t="str">
        <x:v>Department energy balance 2020; road; Reported input</x:v>
      </x:c>
    </x:row>
    <x:row r="42" ht="65" customHeight="1">
      <x:c r="A42" s="8" t="str">
        <x:v>eb_agriculture_2020</x:v>
      </x:c>
      <x:c r="B42" s="7" t="n">
        <x:v>1.0489635</x:v>
      </x:c>
      <x:c r="C42" s="8" t="str">
        <x:v>bn L</x:v>
      </x:c>
      <x:c r="D42" s="8" t="str">
        <x:v>Department energy balance 2020; agriculture; Reported input</x:v>
      </x:c>
    </x:row>
    <x:row r="43" ht="65" customHeight="1">
      <x:c r="A43" s="8" t="str">
        <x:v>eb_industry_2021</x:v>
      </x:c>
      <x:c r="B43" s="7" t="n">
        <x:v>1.4991392599999998</x:v>
      </x:c>
      <x:c r="C43" s="8" t="str">
        <x:v>bn L</x:v>
      </x:c>
      <x:c r="D43" s="8" t="str">
        <x:v>Department energy balance 2021; industry; Reported input</x:v>
      </x:c>
    </x:row>
    <x:row r="44" ht="65" customHeight="1">
      <x:c r="A44" s="8" t="str">
        <x:v>eb_mining_2021</x:v>
      </x:c>
      <x:c r="B44" s="7" t="n">
        <x:v>1.29381342</x:v>
      </x:c>
      <x:c r="C44" s="8" t="str">
        <x:v>bn L</x:v>
      </x:c>
      <x:c r="D44" s="8" t="str">
        <x:v>Department energy balance 2021; mining; Reported input</x:v>
      </x:c>
    </x:row>
    <x:row r="45" ht="65" customHeight="1">
      <x:c r="A45" s="8" t="str">
        <x:v>eb_construction_2021</x:v>
      </x:c>
      <x:c r="B45" s="7" t="n">
        <x:v>0.04869243</x:v>
      </x:c>
      <x:c r="C45" s="8" t="str">
        <x:v>bn L</x:v>
      </x:c>
      <x:c r="D45" s="8" t="str">
        <x:v>Department energy balance 2021; construction; Reported input</x:v>
      </x:c>
    </x:row>
    <x:row r="46" ht="65" customHeight="1">
      <x:c r="A46" s="8" t="str">
        <x:v>eb_road_2021</x:v>
      </x:c>
      <x:c r="B46" s="7" t="n">
        <x:v>6.32795728</x:v>
      </x:c>
      <x:c r="C46" s="8" t="str">
        <x:v>bn L</x:v>
      </x:c>
      <x:c r="D46" s="8" t="str">
        <x:v>Department energy balance 2021; road; Reported input</x:v>
      </x:c>
    </x:row>
    <x:row r="47" ht="65" customHeight="1">
      <x:c r="A47" s="8" t="str">
        <x:v>eb_agriculture_2021</x:v>
      </x:c>
      <x:c r="B47" s="7" t="n">
        <x:v>1.05839895</x:v>
      </x:c>
      <x:c r="C47" s="8" t="str">
        <x:v>bn L</x:v>
      </x:c>
      <x:c r="D47" s="8" t="str">
        <x:v>Department energy balance 2021; agriculture; Reported input</x:v>
      </x:c>
    </x:row>
    <x:row r="48" ht="65" customHeight="1">
      <x:c r="A48" s="8" t="str">
        <x:v>mining_activity_2018</x:v>
      </x:c>
      <x:c r="B48" s="7" t="n">
        <x:v>100.925</x:v>
      </x:c>
      <x:c r="C48" s="8" t="str">
        <x:v>index 2019=100</x:v>
      </x:c>
      <x:c r="D48" s="8" t="str">
        <x:v>Stats SA monthly production index; twelve-month mean; Reported input</x:v>
      </x:c>
    </x:row>
    <x:row r="49" ht="65" customHeight="1">
      <x:c r="A49" s="8" t="str">
        <x:v>mining_activity_2019</x:v>
      </x:c>
      <x:c r="B49" s="7" t="n">
        <x:v>99.98333333333333</x:v>
      </x:c>
      <x:c r="C49" s="8" t="str">
        <x:v>index 2019=100</x:v>
      </x:c>
      <x:c r="D49" s="8" t="str">
        <x:v>Stats SA monthly production index; twelve-month mean; Reported input</x:v>
      </x:c>
    </x:row>
    <x:row r="50" ht="65" customHeight="1">
      <x:c r="A50" s="8" t="str">
        <x:v>mining_activity_2020</x:v>
      </x:c>
      <x:c r="B50" s="7" t="n">
        <x:v>89.10000000000001</x:v>
      </x:c>
      <x:c r="C50" s="8" t="str">
        <x:v>index 2019=100</x:v>
      </x:c>
      <x:c r="D50" s="8" t="str">
        <x:v>Stats SA monthly production index; twelve-month mean; Reported input</x:v>
      </x:c>
    </x:row>
    <x:row r="51" ht="65" customHeight="1">
      <x:c r="A51" s="8" t="str">
        <x:v>mining_activity_2021</x:v>
      </x:c>
      <x:c r="B51" s="7" t="n">
        <x:v>100.875</x:v>
      </x:c>
      <x:c r="C51" s="8" t="str">
        <x:v>index 2019=100</x:v>
      </x:c>
      <x:c r="D51" s="8" t="str">
        <x:v>Stats SA monthly production index; twelve-month mean; Reported input</x:v>
      </x:c>
    </x:row>
    <x:row r="52" ht="65" customHeight="1">
      <x:c r="A52" s="8" t="str">
        <x:v>mining_activity_2022</x:v>
      </x:c>
      <x:c r="B52" s="7" t="n">
        <x:v>93.00833333333333</x:v>
      </x:c>
      <x:c r="C52" s="8" t="str">
        <x:v>index 2019=100</x:v>
      </x:c>
      <x:c r="D52" s="8" t="str">
        <x:v>Stats SA monthly production index; twelve-month mean; Reported input</x:v>
      </x:c>
    </x:row>
    <x:row r="53" ht="65" customHeight="1">
      <x:c r="A53" s="8" t="str">
        <x:v>mining_activity_2023</x:v>
      </x:c>
      <x:c r="B53" s="7" t="n">
        <x:v>93.01666666666667</x:v>
      </x:c>
      <x:c r="C53" s="8" t="str">
        <x:v>index 2019=100</x:v>
      </x:c>
      <x:c r="D53" s="8" t="str">
        <x:v>Stats SA monthly production index; twelve-month mean; Reported input</x:v>
      </x:c>
    </x:row>
    <x:row r="54" ht="65" customHeight="1">
      <x:c r="A54" s="8" t="str">
        <x:v>mining_activity_2024</x:v>
      </x:c>
      <x:c r="B54" s="7" t="n">
        <x:v>93.53333333333335</x:v>
      </x:c>
      <x:c r="C54" s="8" t="str">
        <x:v>index 2019=100</x:v>
      </x:c>
      <x:c r="D54" s="8" t="str">
        <x:v>Stats SA monthly production index; twelve-month mean; Reported input</x:v>
      </x:c>
    </x:row>
    <x:row r="55" ht="65" customHeight="1">
      <x:c r="A55" s="8" t="str">
        <x:v>mining_activity_2025</x:v>
      </x:c>
      <x:c r="B55" s="7" t="n">
        <x:v>93.70833333333333</x:v>
      </x:c>
      <x:c r="C55" s="8" t="str">
        <x:v>index 2019=100</x:v>
      </x:c>
      <x:c r="D55" s="8" t="str">
        <x:v>Stats SA monthly production index; twelve-month mean; Reported input</x:v>
      </x:c>
    </x:row>
    <x:row r="56" ht="65" customHeight="1">
      <x:c r="A56" s="8" t="str">
        <x:v>manufacturing_activity_2018</x:v>
      </x:c>
      <x:c r="B56" s="7" t="n">
        <x:v>101.10000000000001</x:v>
      </x:c>
      <x:c r="C56" s="8" t="str">
        <x:v>index 2019=100</x:v>
      </x:c>
      <x:c r="D56" s="8" t="str">
        <x:v>Stats SA monthly production index; twelve-month mean; Reported input</x:v>
      </x:c>
    </x:row>
    <x:row r="57" ht="65" customHeight="1">
      <x:c r="A57" s="8" t="str">
        <x:v>manufacturing_activity_2019</x:v>
      </x:c>
      <x:c r="B57" s="7" t="n">
        <x:v>99.98333333333333</x:v>
      </x:c>
      <x:c r="C57" s="8" t="str">
        <x:v>index 2019=100</x:v>
      </x:c>
      <x:c r="D57" s="8" t="str">
        <x:v>Stats SA monthly production index; twelve-month mean; Reported input</x:v>
      </x:c>
    </x:row>
    <x:row r="58" ht="65" customHeight="1">
      <x:c r="A58" s="8" t="str">
        <x:v>manufacturing_activity_2020</x:v>
      </x:c>
      <x:c r="B58" s="7" t="n">
        <x:v>87.66666666666667</x:v>
      </x:c>
      <x:c r="C58" s="8" t="str">
        <x:v>index 2019=100</x:v>
      </x:c>
      <x:c r="D58" s="8" t="str">
        <x:v>Stats SA monthly production index; twelve-month mean; Reported input</x:v>
      </x:c>
    </x:row>
    <x:row r="59" ht="65" customHeight="1">
      <x:c r="A59" s="8" t="str">
        <x:v>manufacturing_activity_2021</x:v>
      </x:c>
      <x:c r="B59" s="7" t="n">
        <x:v>93.11666666666667</x:v>
      </x:c>
      <x:c r="C59" s="8" t="str">
        <x:v>index 2019=100</x:v>
      </x:c>
      <x:c r="D59" s="8" t="str">
        <x:v>Stats SA monthly production index; twelve-month mean; Reported input</x:v>
      </x:c>
    </x:row>
    <x:row r="60" ht="65" customHeight="1">
      <x:c r="A60" s="8" t="str">
        <x:v>manufacturing_activity_2022</x:v>
      </x:c>
      <x:c r="B60" s="7" t="n">
        <x:v>93.14166666666667</x:v>
      </x:c>
      <x:c r="C60" s="8" t="str">
        <x:v>index 2019=100</x:v>
      </x:c>
      <x:c r="D60" s="8" t="str">
        <x:v>Stats SA monthly production index; twelve-month mean; Reported input</x:v>
      </x:c>
    </x:row>
    <x:row r="61" ht="65" customHeight="1">
      <x:c r="A61" s="8" t="str">
        <x:v>manufacturing_activity_2023</x:v>
      </x:c>
      <x:c r="B61" s="7" t="n">
        <x:v>93.71666666666665</x:v>
      </x:c>
      <x:c r="C61" s="8" t="str">
        <x:v>index 2019=100</x:v>
      </x:c>
      <x:c r="D61" s="8" t="str">
        <x:v>Stats SA monthly production index; twelve-month mean; Reported input</x:v>
      </x:c>
    </x:row>
    <x:row r="62" ht="65" customHeight="1">
      <x:c r="A62" s="8" t="str">
        <x:v>manufacturing_activity_2024</x:v>
      </x:c>
      <x:c r="B62" s="7" t="n">
        <x:v>93.33333333333333</x:v>
      </x:c>
      <x:c r="C62" s="8" t="str">
        <x:v>index 2019=100</x:v>
      </x:c>
      <x:c r="D62" s="8" t="str">
        <x:v>Stats SA monthly production index; twelve-month mean; Reported input</x:v>
      </x:c>
    </x:row>
    <x:row r="63" ht="65" customHeight="1">
      <x:c r="A63" s="8" t="str">
        <x:v>manufacturing_activity_2025</x:v>
      </x:c>
      <x:c r="B63" s="7" t="n">
        <x:v>92.14166666666667</x:v>
      </x:c>
      <x:c r="C63" s="8" t="str">
        <x:v>index 2019=100</x:v>
      </x:c>
      <x:c r="D63" s="8" t="str">
        <x:v>Stats SA monthly production index; twelve-month mean; Reported input</x:v>
      </x:c>
    </x:row>
    <x:row r="64" ht="65" customHeight="1">
      <x:c r="A64" s="8" t="str">
        <x:v>agriculture_activity_2018</x:v>
      </x:c>
      <x:c r="B64" s="7" t="n">
        <x:v>112.09492575179875</x:v>
      </x:c>
      <x:c r="C64" s="8" t="str">
        <x:v>bn real 2015 ZAR</x:v>
      </x:c>
      <x:c r="D64" s="8" t="str">
        <x:v>Stats SA P0441 agriculture real GVA; Reported input</x:v>
      </x:c>
    </x:row>
    <x:row r="65" ht="65" customHeight="1">
      <x:c r="A65" s="8" t="str">
        <x:v>agriculture_activity_2019</x:v>
      </x:c>
      <x:c r="B65" s="7" t="n">
        <x:v>104.7847576991143</x:v>
      </x:c>
      <x:c r="C65" s="8" t="str">
        <x:v>bn real 2015 ZAR</x:v>
      </x:c>
      <x:c r="D65" s="8" t="str">
        <x:v>Stats SA P0441 agriculture real GVA; Reported input</x:v>
      </x:c>
    </x:row>
    <x:row r="66" ht="65" customHeight="1">
      <x:c r="A66" s="8" t="str">
        <x:v>agriculture_activity_2020</x:v>
      </x:c>
      <x:c r="B66" s="7" t="n">
        <x:v>122.87009907534619</x:v>
      </x:c>
      <x:c r="C66" s="8" t="str">
        <x:v>bn real 2015 ZAR</x:v>
      </x:c>
      <x:c r="D66" s="8" t="str">
        <x:v>Stats SA P0441 agriculture real GVA; Reported input</x:v>
      </x:c>
    </x:row>
    <x:row r="67" ht="65" customHeight="1">
      <x:c r="A67" s="8" t="str">
        <x:v>agriculture_activity_2021</x:v>
      </x:c>
      <x:c r="B67" s="7" t="n">
        <x:v>128.9830895613611</x:v>
      </x:c>
      <x:c r="C67" s="8" t="str">
        <x:v>bn real 2015 ZAR</x:v>
      </x:c>
      <x:c r="D67" s="8" t="str">
        <x:v>Stats SA P0441 agriculture real GVA; Reported input</x:v>
      </x:c>
    </x:row>
    <x:row r="68" ht="65" customHeight="1">
      <x:c r="A68" s="8" t="str">
        <x:v>agriculture_activity_2022</x:v>
      </x:c>
      <x:c r="B68" s="7" t="n">
        <x:v>131.7706421450265</x:v>
      </x:c>
      <x:c r="C68" s="8" t="str">
        <x:v>bn real 2015 ZAR</x:v>
      </x:c>
      <x:c r="D68" s="8" t="str">
        <x:v>Stats SA P0441 agriculture real GVA; Reported input</x:v>
      </x:c>
    </x:row>
    <x:row r="69" ht="65" customHeight="1">
      <x:c r="A69" s="8" t="str">
        <x:v>agriculture_activity_2023</x:v>
      </x:c>
      <x:c r="B69" s="7" t="n">
        <x:v>125.74664214502654</x:v>
      </x:c>
      <x:c r="C69" s="8" t="str">
        <x:v>bn real 2015 ZAR</x:v>
      </x:c>
      <x:c r="D69" s="8" t="str">
        <x:v>Stats SA P0441 agriculture real GVA; Reported input</x:v>
      </x:c>
    </x:row>
    <x:row r="70" ht="65" customHeight="1">
      <x:c r="A70" s="8" t="str">
        <x:v>agriculture_activity_2024</x:v>
      </x:c>
      <x:c r="B70" s="7" t="n">
        <x:v>114.79164214502653</x:v>
      </x:c>
      <x:c r="C70" s="8" t="str">
        <x:v>bn real 2015 ZAR</x:v>
      </x:c>
      <x:c r="D70" s="8" t="str">
        <x:v>Stats SA P0441 agriculture real GVA; Reported input</x:v>
      </x:c>
    </x:row>
    <x:row r="71" ht="65" customHeight="1">
      <x:c r="A71" s="8" t="str">
        <x:v>agriculture_activity_2025</x:v>
      </x:c>
      <x:c r="B71" s="7" t="n">
        <x:v>134.79674698171317</x:v>
      </x:c>
      <x:c r="C71" s="8" t="str">
        <x:v>bn real 2015 ZAR</x:v>
      </x:c>
      <x:c r="D71" s="8" t="str">
        <x:v>Stats SA P0441 agriculture real GVA; Reported input</x:v>
      </x:c>
    </x:row>
    <x:row r="72" ht="65" customHeight="1">
      <x:c r="A72" s="8" t="str">
        <x:v>eskom_2021</x:v>
      </x:c>
      <x:c r="B72" s="7" t="n">
        <x:v>0.4587</x:v>
      </x:c>
      <x:c r="C72" s="8" t="str">
        <x:v>bn L</x:v>
      </x:c>
      <x:c r="D72" s="8" t="str">
        <x:v>Eskom Integrated Report 2025 p141; FY ending March; diesel and kerosene; FY proxy for calendar year, fuel mix retained</x:v>
      </x:c>
    </x:row>
    <x:row r="73" ht="65" customHeight="1">
      <x:c r="A73" s="8" t="str">
        <x:v>eskom_2022</x:v>
      </x:c>
      <x:c r="B73" s="7" t="n">
        <x:v>0.5804</x:v>
      </x:c>
      <x:c r="C73" s="8" t="str">
        <x:v>bn L</x:v>
      </x:c>
      <x:c r="D73" s="8" t="str">
        <x:v>Eskom Integrated Report 2025 p141; FY ending March; diesel and kerosene; FY proxy for calendar year, fuel mix retained</x:v>
      </x:c>
    </x:row>
    <x:row r="74" ht="65" customHeight="1">
      <x:c r="A74" s="8" t="str">
        <x:v>eskom_2023</x:v>
      </x:c>
      <x:c r="B74" s="7" t="n">
        <x:v>0.9375</x:v>
      </x:c>
      <x:c r="C74" s="8" t="str">
        <x:v>bn L</x:v>
      </x:c>
      <x:c r="D74" s="8" t="str">
        <x:v>Eskom Integrated Report 2025 p141; FY ending March; diesel and kerosene; FY proxy for calendar year, fuel mix retained</x:v>
      </x:c>
    </x:row>
    <x:row r="75" ht="65" customHeight="1">
      <x:c r="A75" s="8" t="str">
        <x:v>eskom_2024</x:v>
      </x:c>
      <x:c r="B75" s="7" t="n">
        <x:v>1.1295</x:v>
      </x:c>
      <x:c r="C75" s="8" t="str">
        <x:v>bn L</x:v>
      </x:c>
      <x:c r="D75" s="8" t="str">
        <x:v>Eskom Integrated Report 2025 p141; FY ending March; diesel and kerosene; FY proxy for calendar year, fuel mix retained</x:v>
      </x:c>
    </x:row>
    <x:row r="76" ht="65" customHeight="1">
      <x:c r="A76" s="8" t="str">
        <x:v>eskom_2025</x:v>
      </x:c>
      <x:c r="B76" s="7" t="n">
        <x:v>0.6791</x:v>
      </x:c>
      <x:c r="C76" s="8" t="str">
        <x:v>bn L</x:v>
      </x:c>
      <x:c r="D76" s="8" t="str">
        <x:v>Eskom Integrated Report 2025 p141; FY ending March; diesel and kerosene; FY proxy for calendar year, fuel mix retained</x:v>
      </x:c>
    </x:row>
    <x:row r="77" ht="65" customHeight="1">
      <x:c r="A77" s="8" t="str">
        <x:v>ipp_gwh_2023</x:v>
      </x:c>
      <x:c r="B77" s="7" t="n">
        <x:v>1098</x:v>
      </x:c>
      <x:c r="C77" s="8" t="str">
        <x:v>GWh</x:v>
      </x:c>
      <x:c r="D77" s="8" t="str">
        <x:v>Eskom statistical tables; IPP OCGT generation; FY ending March; Reported input</x:v>
      </x:c>
    </x:row>
    <x:row r="78" ht="65" customHeight="1">
      <x:c r="A78" s="8" t="str">
        <x:v>ipp_gwh_2024</x:v>
      </x:c>
      <x:c r="B78" s="7" t="n">
        <x:v>1509</x:v>
      </x:c>
      <x:c r="C78" s="8" t="str">
        <x:v>GWh</x:v>
      </x:c>
      <x:c r="D78" s="8" t="str">
        <x:v>Eskom statistical tables; IPP OCGT generation; FY ending March; Reported input</x:v>
      </x:c>
    </x:row>
    <x:row r="79" ht="65" customHeight="1">
      <x:c r="A79" s="8" t="str">
        <x:v>ipp_gwh_2025</x:v>
      </x:c>
      <x:c r="B79" s="7" t="n">
        <x:v>662</x:v>
      </x:c>
      <x:c r="C79" s="8" t="str">
        <x:v>GWh</x:v>
      </x:c>
      <x:c r="D79" s="8" t="str">
        <x:v>Eskom statistical tables; IPP OCGT generation; FY ending March; Reported input</x:v>
      </x:c>
    </x:row>
    <x:row r="80" ht="65" customHeight="1">
      <x:c r="A80" s="8" t="str">
        <x:v>freight_rail_2024</x:v>
      </x:c>
      <x:c r="B80" s="7" t="n">
        <x:v>160.745</x:v>
      </x:c>
      <x:c r="C80" s="8" t="str">
        <x:v>million tonnes</x:v>
      </x:c>
      <x:c r="D80" s="8" t="str">
        <x:v>Stats SA P7162 December 2025, p7; all reported freight, not tonne-km; Reported input</x:v>
      </x:c>
    </x:row>
    <x:row r="81" ht="65" customHeight="1">
      <x:c r="A81" s="8" t="str">
        <x:v>freight_road_2024</x:v>
      </x:c>
      <x:c r="B81" s="7" t="n">
        <x:v>979.798</x:v>
      </x:c>
      <x:c r="C81" s="8" t="str">
        <x:v>million tonnes</x:v>
      </x:c>
      <x:c r="D81" s="8" t="str">
        <x:v>Stats SA P7162 December 2025, p7; all reported freight, not tonne-km; Reported input</x:v>
      </x:c>
    </x:row>
    <x:row r="82" ht="65" customHeight="1">
      <x:c r="A82" s="8" t="str">
        <x:v>freight_rail_2025</x:v>
      </x:c>
      <x:c r="B82" s="7" t="n">
        <x:v>168.263</x:v>
      </x:c>
      <x:c r="C82" s="8" t="str">
        <x:v>million tonnes</x:v>
      </x:c>
      <x:c r="D82" s="8" t="str">
        <x:v>Stats SA P7162 December 2025, p7; all reported freight, not tonne-km; Reported input</x:v>
      </x:c>
    </x:row>
    <x:row r="83" ht="65" customHeight="1">
      <x:c r="A83" s="8" t="str">
        <x:v>freight_road_2025</x:v>
      </x:c>
      <x:c r="B83" s="7" t="n">
        <x:v>976.468</x:v>
      </x:c>
      <x:c r="C83" s="8" t="str">
        <x:v>million tonnes</x:v>
      </x:c>
      <x:c r="D83" s="8" t="str">
        <x:v>Stats SA P7162 December 2025, p7; all reported freight, not tonne-km; Reported input</x:v>
      </x:c>
    </x:row>
    <x:row r="84" ht="65" customHeight="1">
      <x:c r="A84" s="8" t="str">
        <x:v>trade_Durban_import_petrol_2019</x:v>
      </x:c>
      <x:c r="B84" s="7" t="n">
        <x:v>1.25634839252</x:v>
      </x:c>
      <x:c r="C84" s="8" t="str">
        <x:v>bn L</x:v>
      </x:c>
      <x:c r="D84" s="8" t="str">
        <x:v>SARS customs by office; litres only; office is a gateway proxy; Reported input</x:v>
      </x:c>
    </x:row>
    <x:row r="85" ht="65" customHeight="1">
      <x:c r="A85" s="8" t="str">
        <x:v>trade_Durban_import_diesel_2019</x:v>
      </x:c>
      <x:c r="B85" s="7" t="n">
        <x:v>3.80914333</x:v>
      </x:c>
      <x:c r="C85" s="8" t="str">
        <x:v>bn L</x:v>
      </x:c>
      <x:c r="D85" s="8" t="str">
        <x:v>SARS customs by office; litres only; office is a gateway proxy; Reported input</x:v>
      </x:c>
    </x:row>
    <x:row r="86" ht="65" customHeight="1">
      <x:c r="A86" s="8" t="str">
        <x:v>trade_Komatipoort_import_petrol_2019</x:v>
      </x:c>
      <x:c r="B86" s="7" t="n">
        <x:v>0.03866750897</x:v>
      </x:c>
      <x:c r="C86" s="8" t="str">
        <x:v>bn L</x:v>
      </x:c>
      <x:c r="D86" s="8" t="str">
        <x:v>SARS customs by office; litres only; office is a gateway proxy; Reported input</x:v>
      </x:c>
    </x:row>
    <x:row r="87" ht="65" customHeight="1">
      <x:c r="A87" s="8" t="str">
        <x:v>trade_Komatipoort_import_diesel_2019</x:v>
      </x:c>
      <x:c r="B87" s="7" t="n">
        <x:v>0.21272690407</x:v>
      </x:c>
      <x:c r="C87" s="8" t="str">
        <x:v>bn L</x:v>
      </x:c>
      <x:c r="D87" s="8" t="str">
        <x:v>SARS customs by office; litres only; office is a gateway proxy; Reported input</x:v>
      </x:c>
    </x:row>
    <x:row r="88" ht="65" customHeight="1">
      <x:c r="A88" s="8" t="str">
        <x:v>trade_All_import_petrol_2019</x:v>
      </x:c>
      <x:c r="B88" s="7" t="n">
        <x:v>1.4773858410899998</x:v>
      </x:c>
      <x:c r="C88" s="8" t="str">
        <x:v>bn L</x:v>
      </x:c>
      <x:c r="D88" s="8" t="str">
        <x:v>SARS customs by office; litres only; office is a gateway proxy; Reported input</x:v>
      </x:c>
    </x:row>
    <x:row r="89" ht="65" customHeight="1">
      <x:c r="A89" s="8" t="str">
        <x:v>trade_All_export_petrol_2019</x:v>
      </x:c>
      <x:c r="B89" s="7" t="n">
        <x:v>1.17470177789</x:v>
      </x:c>
      <x:c r="C89" s="8" t="str">
        <x:v>bn L</x:v>
      </x:c>
      <x:c r="D89" s="8" t="str">
        <x:v>SARS customs by office; litres only; office is a gateway proxy; Reported input</x:v>
      </x:c>
    </x:row>
    <x:row r="90" ht="65" customHeight="1">
      <x:c r="A90" s="8" t="str">
        <x:v>trade_All_import_diesel_2019</x:v>
      </x:c>
      <x:c r="B90" s="7" t="n">
        <x:v>5.590272108560001</x:v>
      </x:c>
      <x:c r="C90" s="8" t="str">
        <x:v>bn L</x:v>
      </x:c>
      <x:c r="D90" s="8" t="str">
        <x:v>SARS customs by office; litres only; office is a gateway proxy; Reported input</x:v>
      </x:c>
    </x:row>
    <x:row r="91" ht="65" customHeight="1">
      <x:c r="A91" s="8" t="str">
        <x:v>trade_All_export_diesel_2019</x:v>
      </x:c>
      <x:c r="B91" s="7" t="n">
        <x:v>1.7413773122</x:v>
      </x:c>
      <x:c r="C91" s="8" t="str">
        <x:v>bn L</x:v>
      </x:c>
      <x:c r="D91" s="8" t="str">
        <x:v>SARS customs by office; litres only; office is a gateway proxy; Reported input</x:v>
      </x:c>
    </x:row>
    <x:row r="92" ht="65" customHeight="1">
      <x:c r="A92" s="8" t="str">
        <x:v>trade_Durban_import_petrol_2020</x:v>
      </x:c>
      <x:c r="B92" s="7" t="n">
        <x:v>0.664092731</x:v>
      </x:c>
      <x:c r="C92" s="8" t="str">
        <x:v>bn L</x:v>
      </x:c>
      <x:c r="D92" s="8" t="str">
        <x:v>SARS customs by office; litres only; office is a gateway proxy; Reported input</x:v>
      </x:c>
    </x:row>
    <x:row r="93" ht="65" customHeight="1">
      <x:c r="A93" s="8" t="str">
        <x:v>trade_Durban_import_diesel_2020</x:v>
      </x:c>
      <x:c r="B93" s="7" t="n">
        <x:v>3.825937678</x:v>
      </x:c>
      <x:c r="C93" s="8" t="str">
        <x:v>bn L</x:v>
      </x:c>
      <x:c r="D93" s="8" t="str">
        <x:v>SARS customs by office; litres only; office is a gateway proxy; Reported input</x:v>
      </x:c>
    </x:row>
    <x:row r="94" ht="65" customHeight="1">
      <x:c r="A94" s="8" t="str">
        <x:v>trade_Komatipoort_import_petrol_2020</x:v>
      </x:c>
      <x:c r="B94" s="7" t="n">
        <x:v>0.030842959</x:v>
      </x:c>
      <x:c r="C94" s="8" t="str">
        <x:v>bn L</x:v>
      </x:c>
      <x:c r="D94" s="8" t="str">
        <x:v>SARS customs by office; litres only; office is a gateway proxy; Reported input</x:v>
      </x:c>
    </x:row>
    <x:row r="95" ht="65" customHeight="1">
      <x:c r="A95" s="8" t="str">
        <x:v>trade_Komatipoort_import_diesel_2020</x:v>
      </x:c>
      <x:c r="B95" s="7" t="n">
        <x:v>0.20753876099000002</x:v>
      </x:c>
      <x:c r="C95" s="8" t="str">
        <x:v>bn L</x:v>
      </x:c>
      <x:c r="D95" s="8" t="str">
        <x:v>SARS customs by office; litres only; office is a gateway proxy; Reported input</x:v>
      </x:c>
    </x:row>
    <x:row r="96" ht="65" customHeight="1">
      <x:c r="A96" s="8" t="str">
        <x:v>trade_All_import_petrol_2020</x:v>
      </x:c>
      <x:c r="B96" s="7" t="n">
        <x:v>1.71967306448</x:v>
      </x:c>
      <x:c r="C96" s="8" t="str">
        <x:v>bn L</x:v>
      </x:c>
      <x:c r="D96" s="8" t="str">
        <x:v>SARS customs by office; litres only; office is a gateway proxy; Reported input</x:v>
      </x:c>
    </x:row>
    <x:row r="97" ht="65" customHeight="1">
      <x:c r="A97" s="8" t="str">
        <x:v>trade_All_export_petrol_2020</x:v>
      </x:c>
      <x:c r="B97" s="7" t="n">
        <x:v>1.1547790711800001</x:v>
      </x:c>
      <x:c r="C97" s="8" t="str">
        <x:v>bn L</x:v>
      </x:c>
      <x:c r="D97" s="8" t="str">
        <x:v>SARS customs by office; litres only; office is a gateway proxy; Reported input</x:v>
      </x:c>
    </x:row>
    <x:row r="98" ht="65" customHeight="1">
      <x:c r="A98" s="8" t="str">
        <x:v>trade_All_import_diesel_2020</x:v>
      </x:c>
      <x:c r="B98" s="7" t="n">
        <x:v>6.81498544784</x:v>
      </x:c>
      <x:c r="C98" s="8" t="str">
        <x:v>bn L</x:v>
      </x:c>
      <x:c r="D98" s="8" t="str">
        <x:v>SARS customs by office; litres only; office is a gateway proxy; Reported input</x:v>
      </x:c>
    </x:row>
    <x:row r="99" ht="65" customHeight="1">
      <x:c r="A99" s="8" t="str">
        <x:v>trade_All_export_diesel_2020</x:v>
      </x:c>
      <x:c r="B99" s="7" t="n">
        <x:v>0.91381452025</x:v>
      </x:c>
      <x:c r="C99" s="8" t="str">
        <x:v>bn L</x:v>
      </x:c>
      <x:c r="D99" s="8" t="str">
        <x:v>SARS customs by office; litres only; office is a gateway proxy; Reported input</x:v>
      </x:c>
    </x:row>
    <x:row r="100" ht="65" customHeight="1">
      <x:c r="A100" s="8" t="str">
        <x:v>trade_Durban_import_petrol_2021</x:v>
      </x:c>
      <x:c r="B100" s="7" t="n">
        <x:v>2.436564685</x:v>
      </x:c>
      <x:c r="C100" s="8" t="str">
        <x:v>bn L</x:v>
      </x:c>
      <x:c r="D100" s="8" t="str">
        <x:v>SARS customs by office; litres only; office is a gateway proxy; Reported input</x:v>
      </x:c>
    </x:row>
    <x:row r="101" ht="65" customHeight="1">
      <x:c r="A101" s="8" t="str">
        <x:v>trade_Durban_import_diesel_2021</x:v>
      </x:c>
      <x:c r="B101" s="7" t="n">
        <x:v>5.83487318</x:v>
      </x:c>
      <x:c r="C101" s="8" t="str">
        <x:v>bn L</x:v>
      </x:c>
      <x:c r="D101" s="8" t="str">
        <x:v>SARS customs by office; litres only; office is a gateway proxy; Reported input</x:v>
      </x:c>
    </x:row>
    <x:row r="102" ht="65" customHeight="1">
      <x:c r="A102" s="8" t="str">
        <x:v>trade_Komatipoort_import_petrol_2021</x:v>
      </x:c>
      <x:c r="B102" s="7" t="n">
        <x:v>0.039454367</x:v>
      </x:c>
      <x:c r="C102" s="8" t="str">
        <x:v>bn L</x:v>
      </x:c>
      <x:c r="D102" s="8" t="str">
        <x:v>SARS customs by office; litres only; office is a gateway proxy; Reported input</x:v>
      </x:c>
    </x:row>
    <x:row r="103" ht="65" customHeight="1">
      <x:c r="A103" s="8" t="str">
        <x:v>trade_Komatipoort_import_diesel_2021</x:v>
      </x:c>
      <x:c r="B103" s="7" t="n">
        <x:v>0.20133574</x:v>
      </x:c>
      <x:c r="C103" s="8" t="str">
        <x:v>bn L</x:v>
      </x:c>
      <x:c r="D103" s="8" t="str">
        <x:v>SARS customs by office; litres only; office is a gateway proxy; Reported input</x:v>
      </x:c>
    </x:row>
    <x:row r="104" ht="65" customHeight="1">
      <x:c r="A104" s="8" t="str">
        <x:v>trade_All_import_petrol_2021</x:v>
      </x:c>
      <x:c r="B104" s="7" t="n">
        <x:v>4.00861276378</x:v>
      </x:c>
      <x:c r="C104" s="8" t="str">
        <x:v>bn L</x:v>
      </x:c>
      <x:c r="D104" s="8" t="str">
        <x:v>SARS customs by office; litres only; office is a gateway proxy; Reported input</x:v>
      </x:c>
    </x:row>
    <x:row r="105" ht="65" customHeight="1">
      <x:c r="A105" s="8" t="str">
        <x:v>trade_All_export_petrol_2021</x:v>
      </x:c>
      <x:c r="B105" s="7" t="n">
        <x:v>1.0524951445700002</x:v>
      </x:c>
      <x:c r="C105" s="8" t="str">
        <x:v>bn L</x:v>
      </x:c>
      <x:c r="D105" s="8" t="str">
        <x:v>SARS customs by office; litres only; office is a gateway proxy; Reported input</x:v>
      </x:c>
    </x:row>
    <x:row r="106" ht="65" customHeight="1">
      <x:c r="A106" s="8" t="str">
        <x:v>trade_All_import_diesel_2021</x:v>
      </x:c>
      <x:c r="B106" s="7" t="n">
        <x:v>9.761395305739999</x:v>
      </x:c>
      <x:c r="C106" s="8" t="str">
        <x:v>bn L</x:v>
      </x:c>
      <x:c r="D106" s="8" t="str">
        <x:v>SARS customs by office; litres only; office is a gateway proxy; Reported input</x:v>
      </x:c>
    </x:row>
    <x:row r="107" ht="65" customHeight="1">
      <x:c r="A107" s="8" t="str">
        <x:v>trade_All_export_diesel_2021</x:v>
      </x:c>
      <x:c r="B107" s="7" t="n">
        <x:v>0.8934881057699999</x:v>
      </x:c>
      <x:c r="C107" s="8" t="str">
        <x:v>bn L</x:v>
      </x:c>
      <x:c r="D107" s="8" t="str">
        <x:v>SARS customs by office; litres only; office is a gateway proxy; Reported input</x:v>
      </x:c>
    </x:row>
    <x:row r="108" ht="65" customHeight="1">
      <x:c r="A108" s="8" t="str">
        <x:v>trade_Durban_import_petrol_2022</x:v>
      </x:c>
      <x:c r="B108" s="7" t="n">
        <x:v>3.882669362</x:v>
      </x:c>
      <x:c r="C108" s="8" t="str">
        <x:v>bn L</x:v>
      </x:c>
      <x:c r="D108" s="8" t="str">
        <x:v>SARS customs by office; litres only; office is a gateway proxy; Reported input</x:v>
      </x:c>
    </x:row>
    <x:row r="109" ht="65" customHeight="1">
      <x:c r="A109" s="8" t="str">
        <x:v>trade_Durban_import_diesel_2022</x:v>
      </x:c>
      <x:c r="B109" s="7" t="n">
        <x:v>7.88124800634</x:v>
      </x:c>
      <x:c r="C109" s="8" t="str">
        <x:v>bn L</x:v>
      </x:c>
      <x:c r="D109" s="8" t="str">
        <x:v>SARS customs by office; litres only; office is a gateway proxy; Reported input</x:v>
      </x:c>
    </x:row>
    <x:row r="110" ht="65" customHeight="1">
      <x:c r="A110" s="8" t="str">
        <x:v>trade_Komatipoort_import_petrol_2022</x:v>
      </x:c>
      <x:c r="B110" s="7" t="n">
        <x:v>0.028805741</x:v>
      </x:c>
      <x:c r="C110" s="8" t="str">
        <x:v>bn L</x:v>
      </x:c>
      <x:c r="D110" s="8" t="str">
        <x:v>SARS customs by office; litres only; office is a gateway proxy; Reported input</x:v>
      </x:c>
    </x:row>
    <x:row r="111" ht="65" customHeight="1">
      <x:c r="A111" s="8" t="str">
        <x:v>trade_Komatipoort_import_diesel_2022</x:v>
      </x:c>
      <x:c r="B111" s="7" t="n">
        <x:v>0.27415852432</x:v>
      </x:c>
      <x:c r="C111" s="8" t="str">
        <x:v>bn L</x:v>
      </x:c>
      <x:c r="D111" s="8" t="str">
        <x:v>SARS customs by office; litres only; office is a gateway proxy; Reported input</x:v>
      </x:c>
    </x:row>
    <x:row r="112" ht="65" customHeight="1">
      <x:c r="A112" s="8" t="str">
        <x:v>trade_All_import_petrol_2022</x:v>
      </x:c>
      <x:c r="B112" s="7" t="n">
        <x:v>5.45526181472</x:v>
      </x:c>
      <x:c r="C112" s="8" t="str">
        <x:v>bn L</x:v>
      </x:c>
      <x:c r="D112" s="8" t="str">
        <x:v>SARS customs by office; litres only; office is a gateway proxy; Reported input</x:v>
      </x:c>
    </x:row>
    <x:row r="113" ht="65" customHeight="1">
      <x:c r="A113" s="8" t="str">
        <x:v>trade_All_export_petrol_2022</x:v>
      </x:c>
      <x:c r="B113" s="7" t="n">
        <x:v>0.85461371378</x:v>
      </x:c>
      <x:c r="C113" s="8" t="str">
        <x:v>bn L</x:v>
      </x:c>
      <x:c r="D113" s="8" t="str">
        <x:v>SARS customs by office; litres only; office is a gateway proxy; Reported input</x:v>
      </x:c>
    </x:row>
    <x:row r="114" ht="65" customHeight="1">
      <x:c r="A114" s="8" t="str">
        <x:v>trade_All_import_diesel_2022</x:v>
      </x:c>
      <x:c r="B114" s="7" t="n">
        <x:v>11.9542565479</x:v>
      </x:c>
      <x:c r="C114" s="8" t="str">
        <x:v>bn L</x:v>
      </x:c>
      <x:c r="D114" s="8" t="str">
        <x:v>SARS customs by office; litres only; office is a gateway proxy; Reported input</x:v>
      </x:c>
    </x:row>
    <x:row r="115" ht="65" customHeight="1">
      <x:c r="A115" s="8" t="str">
        <x:v>trade_All_export_diesel_2022</x:v>
      </x:c>
      <x:c r="B115" s="7" t="n">
        <x:v>0.88919906782</x:v>
      </x:c>
      <x:c r="C115" s="8" t="str">
        <x:v>bn L</x:v>
      </x:c>
      <x:c r="D115" s="8" t="str">
        <x:v>SARS customs by office; litres only; office is a gateway proxy; Reported input</x:v>
      </x:c>
    </x:row>
    <x:row r="116" ht="65" customHeight="1">
      <x:c r="A116" s="8" t="str">
        <x:v>trade_Durban_import_petrol_2023</x:v>
      </x:c>
      <x:c r="B116" s="7" t="n">
        <x:v>4.165599231</x:v>
      </x:c>
      <x:c r="C116" s="8" t="str">
        <x:v>bn L</x:v>
      </x:c>
      <x:c r="D116" s="8" t="str">
        <x:v>SARS customs by office; litres only; office is a gateway proxy; Reported input</x:v>
      </x:c>
    </x:row>
    <x:row r="117" ht="65" customHeight="1">
      <x:c r="A117" s="8" t="str">
        <x:v>trade_Durban_import_diesel_2023</x:v>
      </x:c>
      <x:c r="B117" s="7" t="n">
        <x:v>9.12503651042</x:v>
      </x:c>
      <x:c r="C117" s="8" t="str">
        <x:v>bn L</x:v>
      </x:c>
      <x:c r="D117" s="8" t="str">
        <x:v>SARS customs by office; litres only; office is a gateway proxy; Reported input</x:v>
      </x:c>
    </x:row>
    <x:row r="118" ht="65" customHeight="1">
      <x:c r="A118" s="8" t="str">
        <x:v>trade_Komatipoort_import_petrol_2023</x:v>
      </x:c>
      <x:c r="B118" s="7" t="n">
        <x:v>0.000125422</x:v>
      </x:c>
      <x:c r="C118" s="8" t="str">
        <x:v>bn L</x:v>
      </x:c>
      <x:c r="D118" s="8" t="str">
        <x:v>SARS customs by office; litres only; office is a gateway proxy; Reported input</x:v>
      </x:c>
    </x:row>
    <x:row r="119" ht="65" customHeight="1">
      <x:c r="A119" s="8" t="str">
        <x:v>trade_Komatipoort_import_diesel_2023</x:v>
      </x:c>
      <x:c r="B119" s="7" t="n">
        <x:v>0.254570839</x:v>
      </x:c>
      <x:c r="C119" s="8" t="str">
        <x:v>bn L</x:v>
      </x:c>
      <x:c r="D119" s="8" t="str">
        <x:v>SARS customs by office; litres only; office is a gateway proxy; Reported input</x:v>
      </x:c>
    </x:row>
    <x:row r="120" ht="65" customHeight="1">
      <x:c r="A120" s="8" t="str">
        <x:v>trade_All_import_petrol_2023</x:v>
      </x:c>
      <x:c r="B120" s="7" t="n">
        <x:v>4.48277476038</x:v>
      </x:c>
      <x:c r="C120" s="8" t="str">
        <x:v>bn L</x:v>
      </x:c>
      <x:c r="D120" s="8" t="str">
        <x:v>SARS customs by office; litres only; office is a gateway proxy; Reported input</x:v>
      </x:c>
    </x:row>
    <x:row r="121" ht="65" customHeight="1">
      <x:c r="A121" s="8" t="str">
        <x:v>trade_All_export_petrol_2023</x:v>
      </x:c>
      <x:c r="B121" s="7" t="n">
        <x:v>0.9940195590199999</x:v>
      </x:c>
      <x:c r="C121" s="8" t="str">
        <x:v>bn L</x:v>
      </x:c>
      <x:c r="D121" s="8" t="str">
        <x:v>SARS customs by office; litres only; office is a gateway proxy; Reported input</x:v>
      </x:c>
    </x:row>
    <x:row r="122" ht="65" customHeight="1">
      <x:c r="A122" s="8" t="str">
        <x:v>trade_All_import_diesel_2023</x:v>
      </x:c>
      <x:c r="B122" s="7" t="n">
        <x:v>12.87003210067</x:v>
      </x:c>
      <x:c r="C122" s="8" t="str">
        <x:v>bn L</x:v>
      </x:c>
      <x:c r="D122" s="8" t="str">
        <x:v>SARS customs by office; litres only; office is a gateway proxy; Reported input</x:v>
      </x:c>
    </x:row>
    <x:row r="123" ht="65" customHeight="1">
      <x:c r="A123" s="8" t="str">
        <x:v>trade_All_export_diesel_2023</x:v>
      </x:c>
      <x:c r="B123" s="7" t="n">
        <x:v>0.8894459079200001</x:v>
      </x:c>
      <x:c r="C123" s="8" t="str">
        <x:v>bn L</x:v>
      </x:c>
      <x:c r="D123" s="8" t="str">
        <x:v>SARS customs by office; litres only; office is a gateway proxy; Reported input</x:v>
      </x:c>
    </x:row>
    <x:row r="124" ht="65" customHeight="1">
      <x:c r="A124" s="8" t="str">
        <x:v>trade_Durban_import_petrol_2024</x:v>
      </x:c>
      <x:c r="B124" s="7" t="n">
        <x:v>3.804725224</x:v>
      </x:c>
      <x:c r="C124" s="8" t="str">
        <x:v>bn L</x:v>
      </x:c>
      <x:c r="D124" s="8" t="str">
        <x:v>SARS customs by office; litres only; office is a gateway proxy; Reported input</x:v>
      </x:c>
    </x:row>
    <x:row r="125" ht="65" customHeight="1">
      <x:c r="A125" s="8" t="str">
        <x:v>trade_Durban_import_diesel_2024</x:v>
      </x:c>
      <x:c r="B125" s="7" t="n">
        <x:v>8.03288993764</x:v>
      </x:c>
      <x:c r="C125" s="8" t="str">
        <x:v>bn L</x:v>
      </x:c>
      <x:c r="D125" s="8" t="str">
        <x:v>SARS customs by office; litres only; office is a gateway proxy; Reported input</x:v>
      </x:c>
    </x:row>
    <x:row r="126" ht="65" customHeight="1">
      <x:c r="A126" s="8" t="str">
        <x:v>trade_Komatipoort_import_petrol_2024</x:v>
      </x:c>
      <x:c r="B126" s="7" t="n">
        <x:v>0.001009567</x:v>
      </x:c>
      <x:c r="C126" s="8" t="str">
        <x:v>bn L</x:v>
      </x:c>
      <x:c r="D126" s="8" t="str">
        <x:v>SARS customs by office; litres only; office is a gateway proxy; Reported input</x:v>
      </x:c>
    </x:row>
    <x:row r="127" ht="65" customHeight="1">
      <x:c r="A127" s="8" t="str">
        <x:v>trade_Komatipoort_import_diesel_2024</x:v>
      </x:c>
      <x:c r="B127" s="7" t="n">
        <x:v>0.18582006085</x:v>
      </x:c>
      <x:c r="C127" s="8" t="str">
        <x:v>bn L</x:v>
      </x:c>
      <x:c r="D127" s="8" t="str">
        <x:v>SARS customs by office; litres only; office is a gateway proxy; Reported input</x:v>
      </x:c>
    </x:row>
    <x:row r="128" ht="65" customHeight="1">
      <x:c r="A128" s="8" t="str">
        <x:v>trade_All_import_petrol_2024</x:v>
      </x:c>
      <x:c r="B128" s="7" t="n">
        <x:v>4.00085443345</x:v>
      </x:c>
      <x:c r="C128" s="8" t="str">
        <x:v>bn L</x:v>
      </x:c>
      <x:c r="D128" s="8" t="str">
        <x:v>SARS customs by office; litres only; office is a gateway proxy; Reported input</x:v>
      </x:c>
    </x:row>
    <x:row r="129" ht="65" customHeight="1">
      <x:c r="A129" s="8" t="str">
        <x:v>trade_All_export_petrol_2024</x:v>
      </x:c>
      <x:c r="B129" s="7" t="n">
        <x:v>0.91974501589</x:v>
      </x:c>
      <x:c r="C129" s="8" t="str">
        <x:v>bn L</x:v>
      </x:c>
      <x:c r="D129" s="8" t="str">
        <x:v>SARS customs by office; litres only; office is a gateway proxy; Reported input</x:v>
      </x:c>
    </x:row>
    <x:row r="130" ht="65" customHeight="1">
      <x:c r="A130" s="8" t="str">
        <x:v>trade_All_import_diesel_2024</x:v>
      </x:c>
      <x:c r="B130" s="7" t="n">
        <x:v>10.79254713405</x:v>
      </x:c>
      <x:c r="C130" s="8" t="str">
        <x:v>bn L</x:v>
      </x:c>
      <x:c r="D130" s="8" t="str">
        <x:v>SARS customs by office; litres only; office is a gateway proxy; Reported input</x:v>
      </x:c>
    </x:row>
    <x:row r="131" ht="65" customHeight="1">
      <x:c r="A131" s="8" t="str">
        <x:v>trade_All_export_diesel_2024</x:v>
      </x:c>
      <x:c r="B131" s="7" t="n">
        <x:v>0.79583467852</x:v>
      </x:c>
      <x:c r="C131" s="8" t="str">
        <x:v>bn L</x:v>
      </x:c>
      <x:c r="D131" s="8" t="str">
        <x:v>SARS customs by office; litres only; office is a gateway proxy; Reported input</x:v>
      </x:c>
    </x:row>
    <x:row r="132" ht="65" customHeight="1">
      <x:c r="A132" s="8" t="str">
        <x:v>trade_Durban_import_petrol_2025</x:v>
      </x:c>
      <x:c r="B132" s="7" t="n">
        <x:v>4.228979739</x:v>
      </x:c>
      <x:c r="C132" s="8" t="str">
        <x:v>bn L</x:v>
      </x:c>
      <x:c r="D132" s="8" t="str">
        <x:v>SARS customs by office; litres only; office is a gateway proxy; Reported input</x:v>
      </x:c>
    </x:row>
    <x:row r="133" ht="65" customHeight="1">
      <x:c r="A133" s="8" t="str">
        <x:v>trade_Durban_import_diesel_2025</x:v>
      </x:c>
      <x:c r="B133" s="7" t="n">
        <x:v>8.93153544064</x:v>
      </x:c>
      <x:c r="C133" s="8" t="str">
        <x:v>bn L</x:v>
      </x:c>
      <x:c r="D133" s="8" t="str">
        <x:v>SARS customs by office; litres only; office is a gateway proxy; Reported input</x:v>
      </x:c>
    </x:row>
    <x:row r="134" ht="65" customHeight="1">
      <x:c r="A134" s="8" t="str">
        <x:v>trade_Komatipoort_import_petrol_2025</x:v>
      </x:c>
      <x:c r="B134" s="7" t="n">
        <x:v>0.004416485</x:v>
      </x:c>
      <x:c r="C134" s="8" t="str">
        <x:v>bn L</x:v>
      </x:c>
      <x:c r="D134" s="8" t="str">
        <x:v>SARS customs by office; litres only; office is a gateway proxy; Reported input</x:v>
      </x:c>
    </x:row>
    <x:row r="135" ht="65" customHeight="1">
      <x:c r="A135" s="8" t="str">
        <x:v>trade_Komatipoort_import_diesel_2025</x:v>
      </x:c>
      <x:c r="B135" s="7" t="n">
        <x:v>0.082022506</x:v>
      </x:c>
      <x:c r="C135" s="8" t="str">
        <x:v>bn L</x:v>
      </x:c>
      <x:c r="D135" s="8" t="str">
        <x:v>SARS customs by office; litres only; office is a gateway proxy; Reported input</x:v>
      </x:c>
    </x:row>
    <x:row r="136" ht="65" customHeight="1">
      <x:c r="A136" s="8" t="str">
        <x:v>trade_All_import_petrol_2025</x:v>
      </x:c>
      <x:c r="B136" s="7" t="n">
        <x:v>4.45347117815</x:v>
      </x:c>
      <x:c r="C136" s="8" t="str">
        <x:v>bn L</x:v>
      </x:c>
      <x:c r="D136" s="8" t="str">
        <x:v>SARS customs by office; litres only; office is a gateway proxy; Reported input</x:v>
      </x:c>
    </x:row>
    <x:row r="137" ht="65" customHeight="1">
      <x:c r="A137" s="8" t="str">
        <x:v>trade_All_export_petrol_2025</x:v>
      </x:c>
      <x:c r="B137" s="7" t="n">
        <x:v>0.801762466</x:v>
      </x:c>
      <x:c r="C137" s="8" t="str">
        <x:v>bn L</x:v>
      </x:c>
      <x:c r="D137" s="8" t="str">
        <x:v>SARS customs by office; litres only; office is a gateway proxy; Reported input</x:v>
      </x:c>
    </x:row>
    <x:row r="138" ht="65" customHeight="1">
      <x:c r="A138" s="8" t="str">
        <x:v>trade_All_import_diesel_2025</x:v>
      </x:c>
      <x:c r="B138" s="7" t="n">
        <x:v>12.24872026207</x:v>
      </x:c>
      <x:c r="C138" s="8" t="str">
        <x:v>bn L</x:v>
      </x:c>
      <x:c r="D138" s="8" t="str">
        <x:v>SARS customs by office; litres only; office is a gateway proxy; Reported input</x:v>
      </x:c>
    </x:row>
    <x:row r="139" ht="65" customHeight="1">
      <x:c r="A139" s="8" t="str">
        <x:v>trade_All_export_diesel_2025</x:v>
      </x:c>
      <x:c r="B139" s="7" t="n">
        <x:v>0.74670021007</x:v>
      </x:c>
      <x:c r="C139" s="8" t="str">
        <x:v>bn L</x:v>
      </x:c>
      <x:c r="D139" s="8" t="str">
        <x:v>SARS customs by office; litres only; office is a gateway proxy; Reported input</x:v>
      </x:c>
    </x:row>
    <x:row r="140" ht="65" customHeight="1">
      <x:c r="A140" s="8" t="str">
        <x:v>output_Secunda_2024</x:v>
      </x:c>
      <x:c r="B140" s="7" t="n">
        <x:v>29.1</x:v>
      </x:c>
      <x:c r="C140" s="8" t="str">
        <x:v>million barrels</x:v>
      </x:c>
      <x:c r="D140" s="8" t="str">
        <x:v>Operator production: sasol-metrics-fy2025.pdf; all refined products; no split by product; Reported input</x:v>
      </x:c>
    </x:row>
    <x:row r="141" ht="65" customHeight="1">
      <x:c r="A141" s="8" t="str">
        <x:v>output_Natref_2024</x:v>
      </x:c>
      <x:c r="B141" s="7" t="n">
        <x:v>17.8</x:v>
      </x:c>
      <x:c r="C141" s="8" t="str">
        <x:v>million barrels</x:v>
      </x:c>
      <x:c r="D141" s="8" t="str">
        <x:v>Operator production: sasol-metrics-fy2025.pdf; Sasol's reported Natref production (its 63.64% share); Reported input</x:v>
      </x:c>
    </x:row>
    <x:row r="142" ht="65" customHeight="1">
      <x:c r="A142" s="8" t="str">
        <x:v>output_Secunda_2025</x:v>
      </x:c>
      <x:c r="B142" s="7" t="n">
        <x:v>27.6</x:v>
      </x:c>
      <x:c r="C142" s="8" t="str">
        <x:v>million barrels</x:v>
      </x:c>
      <x:c r="D142" s="8" t="str">
        <x:v>Operator production: sasol-metrics-fy2025.pdf; all refined products; no split by product; Reported input</x:v>
      </x:c>
    </x:row>
    <x:row r="143" ht="65" customHeight="1">
      <x:c r="A143" s="8" t="str">
        <x:v>output_Natref_2025</x:v>
      </x:c>
      <x:c r="B143" s="7" t="n">
        <x:v>14.7</x:v>
      </x:c>
      <x:c r="C143" s="8" t="str">
        <x:v>million barrels</x:v>
      </x:c>
      <x:c r="D143" s="8" t="str">
        <x:v>Operator production: sasol-metrics-fy2025.pdf; Sasol's reported Natref production (its 63.64% share); Reported input</x:v>
      </x:c>
    </x:row>
    <x:row r="144" ht="65" customHeight="1">
      <x:c r="A144" s="8" t="str">
        <x:v>output_Secunda_2026</x:v>
      </x:c>
      <x:c r="B144" s="7" t="n">
        <x:v>30.6</x:v>
      </x:c>
      <x:c r="C144" s="8" t="str">
        <x:v>million barrels</x:v>
      </x:c>
      <x:c r="D144" s="8" t="str">
        <x:v>Operator production: sasol-metrics-fy2026.pdf; all refined products; no split by product; Reported input</x:v>
      </x:c>
    </x:row>
    <x:row r="145" ht="65" customHeight="1">
      <x:c r="A145" s="8" t="str">
        <x:v>output_Natref_2026</x:v>
      </x:c>
      <x:c r="B145" s="7" t="n">
        <x:v>25.8</x:v>
      </x:c>
      <x:c r="C145" s="8" t="str">
        <x:v>million barrels</x:v>
      </x:c>
      <x:c r="D145" s="8" t="str">
        <x:v>Operator production: sasol-metrics-fy2026.pdf; includes 6.9 million barrels produced above Sasol's 63.64% shareholding; Reported input</x:v>
      </x:c>
    </x:row>
    <x:row r="146" ht="65" customHeight="1">
      <x:c r="A146" s="8" t="str">
        <x:v>output_Astron_2024</x:v>
      </x:c>
      <x:c r="B146" s="7" t="n">
        <x:v>166204</x:v>
      </x:c>
      <x:c r="C146" s="8" t="str">
        <x:v>billion Btu</x:v>
      </x:c>
      <x:c r="D146" s="8" t="str">
        <x:v>Operator production: GLEN-2024-Annual-Report.pdf; all refined products; no split by product; Reported input</x:v>
      </x:c>
    </x:row>
    <x:row r="147" ht="65" customHeight="1">
      <x:c r="A147" s="8" t="str">
        <x:v>output_Astron_2025</x:v>
      </x:c>
      <x:c r="B147" s="7" t="n">
        <x:v>164365</x:v>
      </x:c>
      <x:c r="C147" s="8" t="str">
        <x:v>billion Btu</x:v>
      </x:c>
      <x:c r="D147" s="8" t="str">
        <x:v>Operator production: GLEN-2025-Annual-Report.pdf; all refined products; no split by product; Reported input</x:v>
      </x:c>
    </x:row>
  </x:sheetData>
  <x:pageMargins left="0.7" right="0.7" top="0.75" bottom="0.75" header="0.3" footer="0.3"/>
</x:worksheet>
</file>